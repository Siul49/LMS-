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F8AD8F08-4510-4A8C-8C7B-4E70F27EC480}" xr6:coauthVersionLast="36" xr6:coauthVersionMax="36" xr10:uidLastSave="{00000000-0000-0000-0000-000000000000}"/>
  <bookViews>
    <workbookView xWindow="0" yWindow="0" windowWidth="14880" windowHeight="10245" xr2:uid="{00000000-000D-0000-FFFF-FFFF00000000}"/>
  </bookViews>
  <sheets>
    <sheet name="2025-11-24T1020_성적-섬김의리더십_(2150" sheetId="1" r:id="rId1"/>
  </sheets>
  <calcPr calcId="191029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7" i="1"/>
  <c r="AD48" i="1"/>
  <c r="AD49" i="1"/>
  <c r="AD50" i="1"/>
  <c r="AD51" i="1"/>
  <c r="AD52" i="1"/>
  <c r="AD53" i="1"/>
  <c r="AD54" i="1"/>
  <c r="AD55" i="1"/>
  <c r="AD56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7" i="1"/>
  <c r="AD78" i="1"/>
  <c r="AD79" i="1"/>
  <c r="AD2" i="1"/>
  <c r="AA3" i="1"/>
  <c r="AA4" i="1"/>
  <c r="AA5" i="1"/>
  <c r="AA6" i="1"/>
  <c r="AA7" i="1"/>
  <c r="AA8" i="1"/>
  <c r="AA9" i="1"/>
  <c r="AA10" i="1"/>
  <c r="AA11" i="1"/>
  <c r="AA12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7" i="1"/>
  <c r="AA48" i="1"/>
  <c r="AA49" i="1"/>
  <c r="AA50" i="1"/>
  <c r="AA51" i="1"/>
  <c r="AA52" i="1"/>
  <c r="AA53" i="1"/>
  <c r="AA54" i="1"/>
  <c r="AA55" i="1"/>
  <c r="AA56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7" i="1"/>
  <c r="AA78" i="1"/>
  <c r="AA79" i="1"/>
  <c r="AA2" i="1"/>
  <c r="U3" i="1"/>
  <c r="U4" i="1"/>
  <c r="U5" i="1"/>
  <c r="U6" i="1"/>
  <c r="U7" i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7" i="1"/>
  <c r="U48" i="1"/>
  <c r="U49" i="1"/>
  <c r="U50" i="1"/>
  <c r="U51" i="1"/>
  <c r="U52" i="1"/>
  <c r="U53" i="1"/>
  <c r="U54" i="1"/>
  <c r="U55" i="1"/>
  <c r="U56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7" i="1"/>
  <c r="U78" i="1"/>
  <c r="U79" i="1"/>
  <c r="U2" i="1"/>
</calcChain>
</file>

<file path=xl/sharedStrings.xml><?xml version="1.0" encoding="utf-8"?>
<sst xmlns="http://schemas.openxmlformats.org/spreadsheetml/2006/main" count="512" uniqueCount="114">
  <si>
    <t>Student</t>
  </si>
  <si>
    <t>강연두(1539)</t>
  </si>
  <si>
    <t>고준혁(1163)</t>
  </si>
  <si>
    <t>김경수(3003)</t>
  </si>
  <si>
    <t>김나령(1631)</t>
  </si>
  <si>
    <t>김나은(1302)</t>
  </si>
  <si>
    <t>김도환(1735)</t>
  </si>
  <si>
    <t>김민교(1788)</t>
  </si>
  <si>
    <t>김민서(2233)</t>
  </si>
  <si>
    <t>김민석(2861)</t>
  </si>
  <si>
    <t>김민욱(0948)</t>
  </si>
  <si>
    <t>김서현(1156)</t>
  </si>
  <si>
    <t>김세중(2867)</t>
  </si>
  <si>
    <t>김영은(0391)</t>
  </si>
  <si>
    <t>김예지(1171)</t>
  </si>
  <si>
    <t>김용민(0852)</t>
  </si>
  <si>
    <t>김윤중(2608)</t>
  </si>
  <si>
    <t>김지원(0190)</t>
  </si>
  <si>
    <t>김지호(0523)</t>
  </si>
  <si>
    <t>김태우(1116)</t>
  </si>
  <si>
    <t>김형석(1433)</t>
  </si>
  <si>
    <t>레꽝람(3304)</t>
  </si>
  <si>
    <t>르엉투엔민(3427)</t>
  </si>
  <si>
    <t>르엉티훼(0073)</t>
  </si>
  <si>
    <t>명세희(0069)</t>
  </si>
  <si>
    <t>박근형(0525)</t>
  </si>
  <si>
    <t>박세정(0390)</t>
  </si>
  <si>
    <t>박소현(0554)</t>
  </si>
  <si>
    <t>박지원(1647)</t>
  </si>
  <si>
    <t>백지은(0284)</t>
  </si>
  <si>
    <t>부티흐엉리(0080)</t>
  </si>
  <si>
    <t>서현우(1084)</t>
  </si>
  <si>
    <t>송수영(1131)</t>
  </si>
  <si>
    <t>송재훈(3439)</t>
  </si>
  <si>
    <t>송지호(2975)</t>
  </si>
  <si>
    <t>신준철(3081)</t>
  </si>
  <si>
    <t>안찬우(1088)</t>
  </si>
  <si>
    <t>양나은(0819)</t>
  </si>
  <si>
    <t>염윤호(1224)</t>
  </si>
  <si>
    <t>오동환(2883)</t>
  </si>
  <si>
    <t>오정현(1313)</t>
  </si>
  <si>
    <t>완번영(0022)</t>
  </si>
  <si>
    <t>유진우(3232)</t>
  </si>
  <si>
    <t>윤강민(1534)</t>
  </si>
  <si>
    <t>응웬시튀린(3497)</t>
  </si>
  <si>
    <t>응웬응억퀴에아잉(0051)</t>
  </si>
  <si>
    <t>응웬티홍억(0259)</t>
  </si>
  <si>
    <t>응웬티흐엉(3451)</t>
  </si>
  <si>
    <t>이가은(1842)</t>
  </si>
  <si>
    <t>이동윤(2578)</t>
  </si>
  <si>
    <t>이민혁(2579)</t>
  </si>
  <si>
    <t>이원석(2582)</t>
  </si>
  <si>
    <t>이유진(0592)</t>
  </si>
  <si>
    <t>이정민(1603)</t>
  </si>
  <si>
    <t>이찬혁(1744)</t>
  </si>
  <si>
    <t>이현민(1594)</t>
  </si>
  <si>
    <t>이현석(3389)</t>
  </si>
  <si>
    <t>임민주(2293)</t>
  </si>
  <si>
    <t>장민국(0509)</t>
  </si>
  <si>
    <t>정규호(3026)</t>
  </si>
  <si>
    <t>정민지(0247)</t>
  </si>
  <si>
    <t>정수민(0377)</t>
  </si>
  <si>
    <t>정승호(3082)</t>
  </si>
  <si>
    <t>정영석(2046)</t>
  </si>
  <si>
    <t>정예영(2264)</t>
  </si>
  <si>
    <t>정재현(3087)</t>
  </si>
  <si>
    <t>조욱희(3324)</t>
  </si>
  <si>
    <t>조은솔(2038)</t>
  </si>
  <si>
    <t>조준현(1446)</t>
  </si>
  <si>
    <t>최락권(2272)</t>
  </si>
  <si>
    <t>최영운(2686)</t>
  </si>
  <si>
    <t>최준기(2460)</t>
  </si>
  <si>
    <t>판티투우엔(3413)</t>
  </si>
  <si>
    <t>하튀즈엉(0077)</t>
  </si>
  <si>
    <t>홍준범(2104)</t>
  </si>
  <si>
    <t>90점 이상
미충족 사유</t>
    <phoneticPr fontId="18" type="noConversion"/>
  </si>
  <si>
    <t>X</t>
  </si>
  <si>
    <t>출석
1주차</t>
    <phoneticPr fontId="18" type="noConversion"/>
  </si>
  <si>
    <t>출석
2주차</t>
  </si>
  <si>
    <t>출석
3주차</t>
  </si>
  <si>
    <t>출석
5주차</t>
    <phoneticPr fontId="18" type="noConversion"/>
  </si>
  <si>
    <t>출석
점수</t>
    <phoneticPr fontId="18" type="noConversion"/>
  </si>
  <si>
    <t>출석</t>
  </si>
  <si>
    <t>지각</t>
  </si>
  <si>
    <t>출석
4주차</t>
    <phoneticPr fontId="18" type="noConversion"/>
  </si>
  <si>
    <t>계획서</t>
    <phoneticPr fontId="18" type="noConversion"/>
  </si>
  <si>
    <t>일지
(9.8~9.14)</t>
    <phoneticPr fontId="18" type="noConversion"/>
  </si>
  <si>
    <t>일지
(9.15~9.21)</t>
    <phoneticPr fontId="18" type="noConversion"/>
  </si>
  <si>
    <t>일지
(9.22~9.28)</t>
    <phoneticPr fontId="18" type="noConversion"/>
  </si>
  <si>
    <t>일지
(9.29~10.5)</t>
    <phoneticPr fontId="18" type="noConversion"/>
  </si>
  <si>
    <t>일지
(10.6~10.12)</t>
    <phoneticPr fontId="18" type="noConversion"/>
  </si>
  <si>
    <t>일지
(10.13~10.19)</t>
    <phoneticPr fontId="18" type="noConversion"/>
  </si>
  <si>
    <t>일지
(10.20~10.26)</t>
    <phoneticPr fontId="18" type="noConversion"/>
  </si>
  <si>
    <t>일지
(10.27~11.2)</t>
    <phoneticPr fontId="18" type="noConversion"/>
  </si>
  <si>
    <t>일지
(11.3~11.9)</t>
    <phoneticPr fontId="18" type="noConversion"/>
  </si>
  <si>
    <t>일지
(11.10~11.16)</t>
    <phoneticPr fontId="18" type="noConversion"/>
  </si>
  <si>
    <t>일지
(11.17~11.23)</t>
    <phoneticPr fontId="18" type="noConversion"/>
  </si>
  <si>
    <t>일지
(11.24~11.30)</t>
    <phoneticPr fontId="18" type="noConversion"/>
  </si>
  <si>
    <t>일지 점수</t>
    <phoneticPr fontId="18" type="noConversion"/>
  </si>
  <si>
    <t>수업참여
2주차</t>
    <phoneticPr fontId="18" type="noConversion"/>
  </si>
  <si>
    <t>수업참여
3주차</t>
    <phoneticPr fontId="18" type="noConversion"/>
  </si>
  <si>
    <t>수업참여
4주차</t>
    <phoneticPr fontId="18" type="noConversion"/>
  </si>
  <si>
    <t>수업참여
5주차 퀴즈</t>
    <phoneticPr fontId="18" type="noConversion"/>
  </si>
  <si>
    <t>수업참여
5주차</t>
    <phoneticPr fontId="18" type="noConversion"/>
  </si>
  <si>
    <t>확인서</t>
    <phoneticPr fontId="18" type="noConversion"/>
  </si>
  <si>
    <t>제출</t>
  </si>
  <si>
    <t>수업참여
점수</t>
    <phoneticPr fontId="18" type="noConversion"/>
  </si>
  <si>
    <t>결과보고서</t>
    <phoneticPr fontId="18" type="noConversion"/>
  </si>
  <si>
    <t>윤00(2161)</t>
    <phoneticPr fontId="18" type="noConversion"/>
  </si>
  <si>
    <t>김00(1997)</t>
    <phoneticPr fontId="18" type="noConversion"/>
  </si>
  <si>
    <t>이00(0324)</t>
    <phoneticPr fontId="18" type="noConversion"/>
  </si>
  <si>
    <t>톡00(3358)</t>
    <phoneticPr fontId="18" type="noConversion"/>
  </si>
  <si>
    <t>확인서 미제출</t>
    <phoneticPr fontId="18" type="noConversion"/>
  </si>
  <si>
    <t>총점 (90점 이상 PASS)
노란색 미충족
빨간색 Fail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</si>
</sst>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0" fillId="0" borderId="10" xfId="0" applyFont="1" applyFill="1" applyBorder="1" applyAlignment="1">
      <alignment vertical="center" wrapText="1"/>
    </xf>
    <xf numFmtId="0" fontId="21" fillId="0" borderId="11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19" fillId="0" borderId="14" xfId="0" applyFont="1" applyBorder="1">
      <alignment vertical="center"/>
    </xf>
    <xf numFmtId="0" fontId="20" fillId="34" borderId="14" xfId="0" applyFont="1" applyFill="1" applyBorder="1">
      <alignment vertical="center"/>
    </xf>
    <xf numFmtId="0" fontId="20" fillId="0" borderId="14" xfId="0" applyFont="1" applyFill="1" applyBorder="1">
      <alignment vertical="center"/>
    </xf>
    <xf numFmtId="0" fontId="20" fillId="0" borderId="17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19" fillId="33" borderId="14" xfId="0" applyFont="1" applyFill="1" applyBorder="1">
      <alignment vertical="center"/>
    </xf>
    <xf numFmtId="0" fontId="21" fillId="33" borderId="15" xfId="0" applyFont="1" applyFill="1" applyBorder="1" applyAlignment="1"/>
    <xf numFmtId="0" fontId="21" fillId="33" borderId="0" xfId="0" applyFont="1" applyFill="1" applyBorder="1" applyAlignment="1"/>
    <xf numFmtId="0" fontId="20" fillId="33" borderId="16" xfId="0" applyFont="1" applyFill="1" applyBorder="1" applyAlignment="1"/>
    <xf numFmtId="0" fontId="20" fillId="33" borderId="14" xfId="0" applyFont="1" applyFill="1" applyBorder="1">
      <alignment vertical="center"/>
    </xf>
    <xf numFmtId="0" fontId="21" fillId="33" borderId="15" xfId="0" applyFont="1" applyFill="1" applyBorder="1">
      <alignment vertical="center"/>
    </xf>
    <xf numFmtId="0" fontId="21" fillId="33" borderId="0" xfId="0" applyFont="1" applyFill="1" applyBorder="1">
      <alignment vertical="center"/>
    </xf>
    <xf numFmtId="0" fontId="20" fillId="33" borderId="16" xfId="0" applyFont="1" applyFill="1" applyBorder="1">
      <alignment vertical="center"/>
    </xf>
    <xf numFmtId="0" fontId="22" fillId="33" borderId="15" xfId="0" applyFont="1" applyFill="1" applyBorder="1">
      <alignment vertical="center"/>
    </xf>
    <xf numFmtId="0" fontId="19" fillId="33" borderId="0" xfId="0" applyFont="1" applyFill="1" applyBorder="1">
      <alignment vertical="center"/>
    </xf>
    <xf numFmtId="0" fontId="19" fillId="0" borderId="10" xfId="0" applyFont="1" applyFill="1" applyBorder="1">
      <alignment vertical="center"/>
    </xf>
    <xf numFmtId="0" fontId="20" fillId="0" borderId="13" xfId="0" applyFont="1" applyFill="1" applyBorder="1" applyAlignment="1">
      <alignment vertical="center" wrapText="1"/>
    </xf>
    <xf numFmtId="0" fontId="20" fillId="0" borderId="10" xfId="0" applyFont="1" applyFill="1" applyBorder="1">
      <alignment vertical="center"/>
    </xf>
    <xf numFmtId="0" fontId="22" fillId="0" borderId="11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19" fillId="0" borderId="0" xfId="0" applyFont="1" applyFill="1" applyBorder="1">
      <alignment vertical="center"/>
    </xf>
    <xf numFmtId="0" fontId="19" fillId="0" borderId="14" xfId="0" applyFont="1" applyFill="1" applyBorder="1">
      <alignment vertical="center"/>
    </xf>
    <xf numFmtId="0" fontId="21" fillId="0" borderId="15" xfId="0" applyFont="1" applyFill="1" applyBorder="1" applyAlignment="1"/>
    <xf numFmtId="0" fontId="21" fillId="0" borderId="0" xfId="0" applyFont="1" applyFill="1" applyBorder="1" applyAlignment="1"/>
    <xf numFmtId="0" fontId="20" fillId="0" borderId="16" xfId="0" applyFont="1" applyFill="1" applyBorder="1" applyAlignment="1"/>
    <xf numFmtId="0" fontId="21" fillId="0" borderId="15" xfId="0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0" fillId="0" borderId="16" xfId="0" applyFont="1" applyFill="1" applyBorder="1">
      <alignment vertical="center"/>
    </xf>
    <xf numFmtId="0" fontId="22" fillId="0" borderId="15" xfId="0" applyFont="1" applyFill="1" applyBorder="1">
      <alignment vertical="center"/>
    </xf>
    <xf numFmtId="0" fontId="19" fillId="0" borderId="17" xfId="0" applyFont="1" applyFill="1" applyBorder="1">
      <alignment vertical="center"/>
    </xf>
    <xf numFmtId="0" fontId="21" fillId="0" borderId="18" xfId="0" applyFont="1" applyFill="1" applyBorder="1" applyAlignment="1"/>
    <xf numFmtId="0" fontId="21" fillId="0" borderId="19" xfId="0" applyFont="1" applyFill="1" applyBorder="1" applyAlignment="1"/>
    <xf numFmtId="0" fontId="20" fillId="0" borderId="20" xfId="0" applyFont="1" applyFill="1" applyBorder="1" applyAlignment="1"/>
    <xf numFmtId="0" fontId="21" fillId="0" borderId="18" xfId="0" applyFont="1" applyFill="1" applyBorder="1">
      <alignment vertical="center"/>
    </xf>
    <xf numFmtId="0" fontId="21" fillId="0" borderId="19" xfId="0" applyFont="1" applyFill="1" applyBorder="1">
      <alignment vertical="center"/>
    </xf>
    <xf numFmtId="0" fontId="20" fillId="0" borderId="20" xfId="0" applyFont="1" applyFill="1" applyBorder="1">
      <alignment vertical="center"/>
    </xf>
    <xf numFmtId="0" fontId="22" fillId="0" borderId="18" xfId="0" applyFont="1" applyFill="1" applyBorder="1">
      <alignment vertical="center"/>
    </xf>
    <xf numFmtId="0" fontId="19" fillId="0" borderId="19" xfId="0" applyFont="1" applyFill="1" applyBorder="1">
      <alignment vertical="center"/>
    </xf>
    <xf numFmtId="0" fontId="20" fillId="0" borderId="0" xfId="0" applyFont="1" applyFill="1" applyBorder="1" applyAlignment="1"/>
    <xf numFmtId="0" fontId="22" fillId="0" borderId="0" xfId="0" applyFont="1" applyFill="1" applyBorder="1">
      <alignment vertical="center"/>
    </xf>
    <xf numFmtId="0" fontId="23" fillId="33" borderId="14" xfId="0" applyFont="1" applyFill="1" applyBorder="1">
      <alignment vertical="center"/>
    </xf>
    <xf numFmtId="0" fontId="23" fillId="33" borderId="15" xfId="0" applyFont="1" applyFill="1" applyBorder="1" applyAlignment="1"/>
    <xf numFmtId="0" fontId="23" fillId="33" borderId="0" xfId="0" applyFont="1" applyFill="1" applyBorder="1" applyAlignment="1"/>
    <xf numFmtId="0" fontId="23" fillId="33" borderId="15" xfId="0" applyFont="1" applyFill="1" applyBorder="1">
      <alignment vertical="center"/>
    </xf>
    <xf numFmtId="0" fontId="23" fillId="33" borderId="0" xfId="0" applyFont="1" applyFill="1" applyBorder="1">
      <alignment vertical="center"/>
    </xf>
    <xf numFmtId="0" fontId="23" fillId="0" borderId="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workbookViewId="0">
      <pane ySplit="1" topLeftCell="A2" activePane="bottomLeft" state="frozen"/>
      <selection pane="bottomLeft" activeCell="AI16" sqref="AI16"/>
    </sheetView>
  </sheetViews>
  <sheetFormatPr defaultRowHeight="12" x14ac:dyDescent="0.2"/>
  <cols>
    <col min="1" max="1" width="14.25" style="24" customWidth="1"/>
    <col min="2" max="2" width="5.375" style="27" bestFit="1" customWidth="1"/>
    <col min="3" max="3" width="4.5" style="27" customWidth="1"/>
    <col min="4" max="4" width="5.375" style="27" bestFit="1" customWidth="1"/>
    <col min="5" max="5" width="4.75" style="27" customWidth="1"/>
    <col min="6" max="6" width="4.875" style="27" customWidth="1"/>
    <col min="7" max="7" width="5.25" style="42" customWidth="1"/>
    <col min="8" max="8" width="6.25" style="8" customWidth="1"/>
    <col min="9" max="20" width="10.625" style="30" hidden="1" customWidth="1"/>
    <col min="21" max="21" width="8.625" style="8" customWidth="1"/>
    <col min="22" max="22" width="10" style="43" hidden="1" customWidth="1"/>
    <col min="23" max="26" width="10" style="24" hidden="1" customWidth="1"/>
    <col min="27" max="27" width="10" style="8" customWidth="1"/>
    <col min="28" max="28" width="9.875" style="8" customWidth="1"/>
    <col min="29" max="29" width="8.375" style="8" customWidth="1"/>
    <col min="30" max="30" width="17.25" style="8" customWidth="1"/>
    <col min="31" max="31" width="13.5" style="8" customWidth="1"/>
    <col min="32" max="16384" width="9" style="24"/>
  </cols>
  <sheetData>
    <row r="1" spans="1:31" ht="36.75" thickBot="1" x14ac:dyDescent="0.35">
      <c r="A1" s="19" t="s">
        <v>0</v>
      </c>
      <c r="B1" s="2" t="s">
        <v>77</v>
      </c>
      <c r="C1" s="3" t="s">
        <v>78</v>
      </c>
      <c r="D1" s="3" t="s">
        <v>79</v>
      </c>
      <c r="E1" s="3" t="s">
        <v>84</v>
      </c>
      <c r="F1" s="3" t="s">
        <v>80</v>
      </c>
      <c r="G1" s="20" t="s">
        <v>81</v>
      </c>
      <c r="H1" s="21" t="s">
        <v>85</v>
      </c>
      <c r="I1" s="2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20" t="s">
        <v>98</v>
      </c>
      <c r="V1" s="22" t="s">
        <v>99</v>
      </c>
      <c r="W1" s="23" t="s">
        <v>100</v>
      </c>
      <c r="X1" s="23" t="s">
        <v>101</v>
      </c>
      <c r="Y1" s="23" t="s">
        <v>102</v>
      </c>
      <c r="Z1" s="23" t="s">
        <v>103</v>
      </c>
      <c r="AA1" s="20" t="s">
        <v>106</v>
      </c>
      <c r="AB1" s="21" t="s">
        <v>107</v>
      </c>
      <c r="AC1" s="21" t="s">
        <v>104</v>
      </c>
      <c r="AD1" s="1" t="s">
        <v>113</v>
      </c>
      <c r="AE1" s="1" t="s">
        <v>75</v>
      </c>
    </row>
    <row r="2" spans="1:31" ht="12.75" thickTop="1" x14ac:dyDescent="0.2">
      <c r="A2" s="25" t="s">
        <v>1</v>
      </c>
      <c r="B2" s="26" t="s">
        <v>82</v>
      </c>
      <c r="C2" s="27" t="s">
        <v>82</v>
      </c>
      <c r="D2" s="27" t="s">
        <v>82</v>
      </c>
      <c r="E2" s="27" t="s">
        <v>82</v>
      </c>
      <c r="F2" s="27" t="s">
        <v>82</v>
      </c>
      <c r="G2" s="28">
        <v>40</v>
      </c>
      <c r="H2" s="6">
        <v>10</v>
      </c>
      <c r="I2" s="29">
        <v>10</v>
      </c>
      <c r="J2" s="30">
        <v>10</v>
      </c>
      <c r="U2" s="31">
        <f t="shared" ref="U2:U12" si="0">SUM(I2:T2)</f>
        <v>20</v>
      </c>
      <c r="V2" s="32">
        <v>4</v>
      </c>
      <c r="W2" s="24">
        <v>4</v>
      </c>
      <c r="X2" s="24">
        <v>4</v>
      </c>
      <c r="Y2" s="24">
        <v>2</v>
      </c>
      <c r="Z2" s="24">
        <v>2</v>
      </c>
      <c r="AA2" s="31">
        <f>SUM(V2:Z2)</f>
        <v>16</v>
      </c>
      <c r="AB2" s="6">
        <v>10</v>
      </c>
      <c r="AC2" s="6" t="s">
        <v>105</v>
      </c>
      <c r="AD2" s="6">
        <f>G2+H2+U2+AA2+AB2</f>
        <v>96</v>
      </c>
      <c r="AE2" s="25"/>
    </row>
    <row r="3" spans="1:31" x14ac:dyDescent="0.2">
      <c r="A3" s="25" t="s">
        <v>2</v>
      </c>
      <c r="B3" s="26" t="s">
        <v>82</v>
      </c>
      <c r="C3" s="27" t="s">
        <v>82</v>
      </c>
      <c r="D3" s="27" t="s">
        <v>82</v>
      </c>
      <c r="E3" s="27" t="s">
        <v>82</v>
      </c>
      <c r="F3" s="27" t="s">
        <v>82</v>
      </c>
      <c r="G3" s="28">
        <v>40</v>
      </c>
      <c r="H3" s="6">
        <v>10</v>
      </c>
      <c r="I3" s="29"/>
      <c r="P3" s="30">
        <v>8</v>
      </c>
      <c r="Q3" s="30">
        <v>10</v>
      </c>
      <c r="R3" s="30">
        <v>10</v>
      </c>
      <c r="U3" s="31">
        <f t="shared" si="0"/>
        <v>28</v>
      </c>
      <c r="V3" s="32">
        <v>4</v>
      </c>
      <c r="W3" s="24">
        <v>4</v>
      </c>
      <c r="X3" s="24">
        <v>4</v>
      </c>
      <c r="Y3" s="24">
        <v>2</v>
      </c>
      <c r="Z3" s="24">
        <v>2</v>
      </c>
      <c r="AA3" s="31">
        <f t="shared" ref="AA3:AA66" si="1">SUM(V3:Z3)</f>
        <v>16</v>
      </c>
      <c r="AB3" s="6">
        <v>10</v>
      </c>
      <c r="AC3" s="6" t="s">
        <v>105</v>
      </c>
      <c r="AD3" s="6">
        <f t="shared" ref="AD3:AD66" si="2">G3+H3+U3+AA3+AB3</f>
        <v>104</v>
      </c>
      <c r="AE3" s="6"/>
    </row>
    <row r="4" spans="1:31" x14ac:dyDescent="0.2">
      <c r="A4" s="25" t="s">
        <v>3</v>
      </c>
      <c r="B4" s="26" t="s">
        <v>82</v>
      </c>
      <c r="C4" s="27" t="s">
        <v>82</v>
      </c>
      <c r="D4" s="27" t="s">
        <v>82</v>
      </c>
      <c r="E4" s="27" t="s">
        <v>82</v>
      </c>
      <c r="F4" s="27" t="s">
        <v>82</v>
      </c>
      <c r="G4" s="28">
        <v>40</v>
      </c>
      <c r="H4" s="6">
        <v>10</v>
      </c>
      <c r="I4" s="29"/>
      <c r="L4" s="30">
        <v>10</v>
      </c>
      <c r="N4" s="30">
        <v>8</v>
      </c>
      <c r="P4" s="30">
        <v>10</v>
      </c>
      <c r="U4" s="31">
        <f t="shared" si="0"/>
        <v>28</v>
      </c>
      <c r="V4" s="32">
        <v>4</v>
      </c>
      <c r="W4" s="24">
        <v>4</v>
      </c>
      <c r="X4" s="24">
        <v>4</v>
      </c>
      <c r="Y4" s="24">
        <v>2</v>
      </c>
      <c r="Z4" s="24">
        <v>2</v>
      </c>
      <c r="AA4" s="31">
        <f t="shared" si="1"/>
        <v>16</v>
      </c>
      <c r="AB4" s="6">
        <v>10</v>
      </c>
      <c r="AC4" s="6" t="s">
        <v>105</v>
      </c>
      <c r="AD4" s="6">
        <f t="shared" si="2"/>
        <v>104</v>
      </c>
      <c r="AE4" s="6"/>
    </row>
    <row r="5" spans="1:31" x14ac:dyDescent="0.2">
      <c r="A5" s="25" t="s">
        <v>4</v>
      </c>
      <c r="B5" s="26" t="s">
        <v>82</v>
      </c>
      <c r="C5" s="27" t="s">
        <v>82</v>
      </c>
      <c r="D5" s="27" t="s">
        <v>82</v>
      </c>
      <c r="E5" s="27" t="s">
        <v>82</v>
      </c>
      <c r="F5" s="27" t="s">
        <v>82</v>
      </c>
      <c r="G5" s="28">
        <v>40</v>
      </c>
      <c r="H5" s="6">
        <v>10</v>
      </c>
      <c r="I5" s="29"/>
      <c r="J5" s="30">
        <v>10</v>
      </c>
      <c r="P5" s="30">
        <v>10</v>
      </c>
      <c r="U5" s="31">
        <f t="shared" si="0"/>
        <v>20</v>
      </c>
      <c r="V5" s="32">
        <v>4</v>
      </c>
      <c r="W5" s="24">
        <v>4</v>
      </c>
      <c r="X5" s="24">
        <v>4</v>
      </c>
      <c r="Y5" s="24">
        <v>2</v>
      </c>
      <c r="Z5" s="24">
        <v>2</v>
      </c>
      <c r="AA5" s="31">
        <f t="shared" si="1"/>
        <v>16</v>
      </c>
      <c r="AB5" s="6"/>
      <c r="AC5" s="6"/>
      <c r="AD5" s="5">
        <f t="shared" si="2"/>
        <v>86</v>
      </c>
      <c r="AE5" s="25"/>
    </row>
    <row r="6" spans="1:31" x14ac:dyDescent="0.2">
      <c r="A6" s="25" t="s">
        <v>5</v>
      </c>
      <c r="B6" s="26" t="s">
        <v>82</v>
      </c>
      <c r="C6" s="27" t="s">
        <v>82</v>
      </c>
      <c r="D6" s="27" t="s">
        <v>82</v>
      </c>
      <c r="E6" s="27" t="s">
        <v>82</v>
      </c>
      <c r="F6" s="27" t="s">
        <v>82</v>
      </c>
      <c r="G6" s="28">
        <v>40</v>
      </c>
      <c r="H6" s="6">
        <v>10</v>
      </c>
      <c r="I6" s="29"/>
      <c r="J6" s="30">
        <v>10</v>
      </c>
      <c r="U6" s="31">
        <f t="shared" si="0"/>
        <v>10</v>
      </c>
      <c r="V6" s="32">
        <v>4</v>
      </c>
      <c r="W6" s="24">
        <v>4</v>
      </c>
      <c r="X6" s="24">
        <v>4</v>
      </c>
      <c r="Y6" s="24">
        <v>2</v>
      </c>
      <c r="Z6" s="24">
        <v>2</v>
      </c>
      <c r="AA6" s="31">
        <f t="shared" si="1"/>
        <v>16</v>
      </c>
      <c r="AB6" s="6">
        <v>10</v>
      </c>
      <c r="AC6" s="6"/>
      <c r="AD6" s="5">
        <f t="shared" si="2"/>
        <v>86</v>
      </c>
      <c r="AE6" s="25"/>
    </row>
    <row r="7" spans="1:31" x14ac:dyDescent="0.2">
      <c r="A7" s="25" t="s">
        <v>6</v>
      </c>
      <c r="B7" s="26" t="s">
        <v>82</v>
      </c>
      <c r="C7" s="27" t="s">
        <v>82</v>
      </c>
      <c r="D7" s="27" t="s">
        <v>82</v>
      </c>
      <c r="E7" s="27" t="s">
        <v>82</v>
      </c>
      <c r="F7" s="27" t="s">
        <v>82</v>
      </c>
      <c r="G7" s="28">
        <v>40</v>
      </c>
      <c r="H7" s="6">
        <v>10</v>
      </c>
      <c r="I7" s="29"/>
      <c r="R7" s="30">
        <v>10</v>
      </c>
      <c r="S7" s="30">
        <v>10</v>
      </c>
      <c r="U7" s="31">
        <f t="shared" si="0"/>
        <v>20</v>
      </c>
      <c r="V7" s="32">
        <v>4</v>
      </c>
      <c r="W7" s="24">
        <v>4</v>
      </c>
      <c r="X7" s="24">
        <v>4</v>
      </c>
      <c r="Y7" s="24">
        <v>2</v>
      </c>
      <c r="Z7" s="24">
        <v>2</v>
      </c>
      <c r="AA7" s="31">
        <f t="shared" si="1"/>
        <v>16</v>
      </c>
      <c r="AB7" s="6"/>
      <c r="AC7" s="6"/>
      <c r="AD7" s="5">
        <f t="shared" si="2"/>
        <v>86</v>
      </c>
      <c r="AE7" s="6"/>
    </row>
    <row r="8" spans="1:31" x14ac:dyDescent="0.2">
      <c r="A8" s="25" t="s">
        <v>7</v>
      </c>
      <c r="B8" s="26" t="s">
        <v>82</v>
      </c>
      <c r="C8" s="27" t="s">
        <v>82</v>
      </c>
      <c r="D8" s="27" t="s">
        <v>82</v>
      </c>
      <c r="E8" s="27" t="s">
        <v>82</v>
      </c>
      <c r="F8" s="27" t="s">
        <v>82</v>
      </c>
      <c r="G8" s="28">
        <v>40</v>
      </c>
      <c r="H8" s="6">
        <v>10</v>
      </c>
      <c r="I8" s="29"/>
      <c r="K8" s="30">
        <v>10</v>
      </c>
      <c r="M8" s="30">
        <v>10</v>
      </c>
      <c r="S8" s="30">
        <v>10</v>
      </c>
      <c r="U8" s="31">
        <f t="shared" si="0"/>
        <v>30</v>
      </c>
      <c r="V8" s="32">
        <v>4</v>
      </c>
      <c r="W8" s="24">
        <v>4</v>
      </c>
      <c r="X8" s="24">
        <v>4</v>
      </c>
      <c r="Y8" s="24">
        <v>2</v>
      </c>
      <c r="Z8" s="24">
        <v>2</v>
      </c>
      <c r="AA8" s="31">
        <f t="shared" si="1"/>
        <v>16</v>
      </c>
      <c r="AB8" s="6"/>
      <c r="AC8" s="6"/>
      <c r="AD8" s="5">
        <f t="shared" si="2"/>
        <v>96</v>
      </c>
      <c r="AE8" s="6" t="s">
        <v>112</v>
      </c>
    </row>
    <row r="9" spans="1:31" x14ac:dyDescent="0.2">
      <c r="A9" s="25" t="s">
        <v>8</v>
      </c>
      <c r="B9" s="26" t="s">
        <v>82</v>
      </c>
      <c r="C9" s="27" t="s">
        <v>82</v>
      </c>
      <c r="D9" s="27" t="s">
        <v>82</v>
      </c>
      <c r="E9" s="27" t="s">
        <v>82</v>
      </c>
      <c r="F9" s="27" t="s">
        <v>82</v>
      </c>
      <c r="G9" s="28">
        <v>40</v>
      </c>
      <c r="H9" s="6">
        <v>10</v>
      </c>
      <c r="I9" s="29"/>
      <c r="R9" s="30">
        <v>10</v>
      </c>
      <c r="U9" s="31">
        <f t="shared" si="0"/>
        <v>10</v>
      </c>
      <c r="V9" s="32">
        <v>4</v>
      </c>
      <c r="W9" s="24">
        <v>4</v>
      </c>
      <c r="X9" s="24">
        <v>4</v>
      </c>
      <c r="Y9" s="24">
        <v>2</v>
      </c>
      <c r="Z9" s="24">
        <v>2</v>
      </c>
      <c r="AA9" s="31">
        <f t="shared" si="1"/>
        <v>16</v>
      </c>
      <c r="AB9" s="6"/>
      <c r="AC9" s="6"/>
      <c r="AD9" s="5">
        <f t="shared" si="2"/>
        <v>76</v>
      </c>
      <c r="AE9" s="6"/>
    </row>
    <row r="10" spans="1:31" x14ac:dyDescent="0.2">
      <c r="A10" s="25" t="s">
        <v>9</v>
      </c>
      <c r="B10" s="26" t="s">
        <v>82</v>
      </c>
      <c r="C10" s="27" t="s">
        <v>82</v>
      </c>
      <c r="D10" s="27" t="s">
        <v>82</v>
      </c>
      <c r="E10" s="27" t="s">
        <v>82</v>
      </c>
      <c r="F10" s="27" t="s">
        <v>82</v>
      </c>
      <c r="G10" s="28">
        <v>40</v>
      </c>
      <c r="H10" s="6">
        <v>10</v>
      </c>
      <c r="I10" s="29"/>
      <c r="P10" s="30">
        <v>10</v>
      </c>
      <c r="R10" s="30">
        <v>20</v>
      </c>
      <c r="U10" s="31">
        <f t="shared" si="0"/>
        <v>30</v>
      </c>
      <c r="V10" s="32">
        <v>4</v>
      </c>
      <c r="W10" s="24">
        <v>4</v>
      </c>
      <c r="X10" s="24">
        <v>4</v>
      </c>
      <c r="Y10" s="24">
        <v>2</v>
      </c>
      <c r="Z10" s="24">
        <v>2</v>
      </c>
      <c r="AA10" s="31">
        <f t="shared" si="1"/>
        <v>16</v>
      </c>
      <c r="AB10" s="6">
        <v>10</v>
      </c>
      <c r="AC10" s="6" t="s">
        <v>105</v>
      </c>
      <c r="AD10" s="6">
        <f t="shared" si="2"/>
        <v>106</v>
      </c>
      <c r="AE10" s="6"/>
    </row>
    <row r="11" spans="1:31" x14ac:dyDescent="0.2">
      <c r="A11" s="25" t="s">
        <v>10</v>
      </c>
      <c r="B11" s="26" t="s">
        <v>82</v>
      </c>
      <c r="C11" s="27" t="s">
        <v>82</v>
      </c>
      <c r="D11" s="27" t="s">
        <v>82</v>
      </c>
      <c r="E11" s="27" t="s">
        <v>82</v>
      </c>
      <c r="F11" s="27" t="s">
        <v>82</v>
      </c>
      <c r="G11" s="28">
        <v>40</v>
      </c>
      <c r="H11" s="6">
        <v>10</v>
      </c>
      <c r="I11" s="29"/>
      <c r="K11" s="30">
        <v>10</v>
      </c>
      <c r="M11" s="30">
        <v>10</v>
      </c>
      <c r="O11" s="30">
        <v>8</v>
      </c>
      <c r="U11" s="31">
        <f t="shared" si="0"/>
        <v>28</v>
      </c>
      <c r="V11" s="32">
        <v>4</v>
      </c>
      <c r="W11" s="24">
        <v>4</v>
      </c>
      <c r="X11" s="24">
        <v>4</v>
      </c>
      <c r="Y11" s="24">
        <v>2</v>
      </c>
      <c r="Z11" s="24">
        <v>2</v>
      </c>
      <c r="AA11" s="31">
        <f t="shared" si="1"/>
        <v>16</v>
      </c>
      <c r="AB11" s="6">
        <v>10</v>
      </c>
      <c r="AC11" s="6"/>
      <c r="AD11" s="5">
        <f t="shared" si="2"/>
        <v>104</v>
      </c>
      <c r="AE11" s="6" t="s">
        <v>112</v>
      </c>
    </row>
    <row r="12" spans="1:31" x14ac:dyDescent="0.2">
      <c r="A12" s="25" t="s">
        <v>11</v>
      </c>
      <c r="B12" s="26" t="s">
        <v>82</v>
      </c>
      <c r="C12" s="27" t="s">
        <v>82</v>
      </c>
      <c r="D12" s="27" t="s">
        <v>82</v>
      </c>
      <c r="E12" s="27" t="s">
        <v>82</v>
      </c>
      <c r="F12" s="27" t="s">
        <v>82</v>
      </c>
      <c r="G12" s="28">
        <v>40</v>
      </c>
      <c r="H12" s="6">
        <v>10</v>
      </c>
      <c r="I12" s="29"/>
      <c r="O12" s="30">
        <v>10</v>
      </c>
      <c r="U12" s="31">
        <f t="shared" si="0"/>
        <v>10</v>
      </c>
      <c r="V12" s="32">
        <v>4</v>
      </c>
      <c r="W12" s="24">
        <v>4</v>
      </c>
      <c r="X12" s="24">
        <v>4</v>
      </c>
      <c r="Y12" s="24">
        <v>2</v>
      </c>
      <c r="AA12" s="31">
        <f t="shared" si="1"/>
        <v>14</v>
      </c>
      <c r="AB12" s="6">
        <v>10</v>
      </c>
      <c r="AC12" s="6"/>
      <c r="AD12" s="5">
        <f t="shared" si="2"/>
        <v>84</v>
      </c>
      <c r="AE12" s="4"/>
    </row>
    <row r="13" spans="1:31" x14ac:dyDescent="0.2">
      <c r="A13" s="9" t="s">
        <v>109</v>
      </c>
      <c r="B13" s="10"/>
      <c r="C13" s="11"/>
      <c r="D13" s="11"/>
      <c r="E13" s="11"/>
      <c r="F13" s="11"/>
      <c r="G13" s="12"/>
      <c r="H13" s="13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17"/>
      <c r="W13" s="18"/>
      <c r="X13" s="18"/>
      <c r="Y13" s="18"/>
      <c r="Z13" s="18"/>
      <c r="AA13" s="16"/>
      <c r="AB13" s="13"/>
      <c r="AC13" s="13"/>
      <c r="AD13" s="13"/>
      <c r="AE13" s="9"/>
    </row>
    <row r="14" spans="1:31" x14ac:dyDescent="0.2">
      <c r="A14" s="25" t="s">
        <v>12</v>
      </c>
      <c r="B14" s="26" t="s">
        <v>82</v>
      </c>
      <c r="C14" s="27" t="s">
        <v>82</v>
      </c>
      <c r="D14" s="27" t="s">
        <v>82</v>
      </c>
      <c r="E14" s="27" t="s">
        <v>82</v>
      </c>
      <c r="F14" s="27" t="s">
        <v>82</v>
      </c>
      <c r="G14" s="28">
        <v>40</v>
      </c>
      <c r="H14" s="6">
        <v>10</v>
      </c>
      <c r="I14" s="29"/>
      <c r="N14" s="30">
        <v>0</v>
      </c>
      <c r="P14" s="30">
        <v>10</v>
      </c>
      <c r="Q14" s="30">
        <v>0</v>
      </c>
      <c r="R14" s="30">
        <v>20</v>
      </c>
      <c r="U14" s="31">
        <f t="shared" ref="U14:U45" si="3">SUM(I14:T14)</f>
        <v>30</v>
      </c>
      <c r="V14" s="32">
        <v>4</v>
      </c>
      <c r="W14" s="24">
        <v>4</v>
      </c>
      <c r="X14" s="24">
        <v>4</v>
      </c>
      <c r="Y14" s="24">
        <v>2</v>
      </c>
      <c r="Z14" s="24">
        <v>2</v>
      </c>
      <c r="AA14" s="31">
        <f t="shared" si="1"/>
        <v>16</v>
      </c>
      <c r="AB14" s="6">
        <v>10</v>
      </c>
      <c r="AC14" s="6"/>
      <c r="AD14" s="5">
        <f t="shared" si="2"/>
        <v>106</v>
      </c>
      <c r="AE14" s="6" t="s">
        <v>112</v>
      </c>
    </row>
    <row r="15" spans="1:31" x14ac:dyDescent="0.2">
      <c r="A15" s="25" t="s">
        <v>13</v>
      </c>
      <c r="B15" s="26" t="s">
        <v>82</v>
      </c>
      <c r="C15" s="27" t="s">
        <v>82</v>
      </c>
      <c r="D15" s="27" t="s">
        <v>76</v>
      </c>
      <c r="E15" s="27" t="s">
        <v>82</v>
      </c>
      <c r="F15" s="27" t="s">
        <v>82</v>
      </c>
      <c r="G15" s="28">
        <v>30</v>
      </c>
      <c r="H15" s="6">
        <v>10</v>
      </c>
      <c r="I15" s="29"/>
      <c r="Q15" s="30">
        <v>10</v>
      </c>
      <c r="R15" s="30">
        <v>10</v>
      </c>
      <c r="U15" s="31">
        <f t="shared" si="3"/>
        <v>20</v>
      </c>
      <c r="V15" s="32">
        <v>4</v>
      </c>
      <c r="X15" s="24">
        <v>4</v>
      </c>
      <c r="Y15" s="24">
        <v>2</v>
      </c>
      <c r="Z15" s="24">
        <v>2</v>
      </c>
      <c r="AA15" s="31">
        <f t="shared" si="1"/>
        <v>12</v>
      </c>
      <c r="AB15" s="6">
        <v>10</v>
      </c>
      <c r="AC15" s="6"/>
      <c r="AD15" s="5">
        <f t="shared" si="2"/>
        <v>82</v>
      </c>
      <c r="AE15" s="6"/>
    </row>
    <row r="16" spans="1:31" x14ac:dyDescent="0.2">
      <c r="A16" s="25" t="s">
        <v>14</v>
      </c>
      <c r="B16" s="26" t="s">
        <v>82</v>
      </c>
      <c r="C16" s="27" t="s">
        <v>82</v>
      </c>
      <c r="D16" s="27" t="s">
        <v>82</v>
      </c>
      <c r="E16" s="27" t="s">
        <v>82</v>
      </c>
      <c r="F16" s="27" t="s">
        <v>82</v>
      </c>
      <c r="G16" s="28">
        <v>40</v>
      </c>
      <c r="H16" s="6">
        <v>10</v>
      </c>
      <c r="I16" s="29"/>
      <c r="J16" s="30">
        <v>10</v>
      </c>
      <c r="Q16" s="30">
        <v>10</v>
      </c>
      <c r="U16" s="31">
        <f t="shared" si="3"/>
        <v>20</v>
      </c>
      <c r="V16" s="32">
        <v>4</v>
      </c>
      <c r="W16" s="24">
        <v>4</v>
      </c>
      <c r="X16" s="24">
        <v>4</v>
      </c>
      <c r="Z16" s="24">
        <v>2</v>
      </c>
      <c r="AA16" s="31">
        <f t="shared" si="1"/>
        <v>14</v>
      </c>
      <c r="AB16" s="6"/>
      <c r="AC16" s="6"/>
      <c r="AD16" s="5">
        <f t="shared" si="2"/>
        <v>84</v>
      </c>
      <c r="AE16" s="6"/>
    </row>
    <row r="17" spans="1:31" x14ac:dyDescent="0.2">
      <c r="A17" s="25" t="s">
        <v>15</v>
      </c>
      <c r="B17" s="26" t="s">
        <v>82</v>
      </c>
      <c r="C17" s="27" t="s">
        <v>82</v>
      </c>
      <c r="D17" s="27" t="s">
        <v>82</v>
      </c>
      <c r="E17" s="27" t="s">
        <v>82</v>
      </c>
      <c r="F17" s="27" t="s">
        <v>82</v>
      </c>
      <c r="G17" s="28">
        <v>40</v>
      </c>
      <c r="H17" s="6">
        <v>10</v>
      </c>
      <c r="I17" s="29">
        <v>10</v>
      </c>
      <c r="U17" s="31">
        <f t="shared" si="3"/>
        <v>10</v>
      </c>
      <c r="V17" s="32">
        <v>4</v>
      </c>
      <c r="W17" s="24">
        <v>4</v>
      </c>
      <c r="X17" s="24">
        <v>4</v>
      </c>
      <c r="Y17" s="24">
        <v>2</v>
      </c>
      <c r="Z17" s="24">
        <v>2</v>
      </c>
      <c r="AA17" s="31">
        <f t="shared" si="1"/>
        <v>16</v>
      </c>
      <c r="AB17" s="6">
        <v>10</v>
      </c>
      <c r="AC17" s="6"/>
      <c r="AD17" s="5">
        <f t="shared" si="2"/>
        <v>86</v>
      </c>
      <c r="AE17" s="6"/>
    </row>
    <row r="18" spans="1:31" x14ac:dyDescent="0.2">
      <c r="A18" s="25" t="s">
        <v>16</v>
      </c>
      <c r="B18" s="26" t="s">
        <v>82</v>
      </c>
      <c r="C18" s="27" t="s">
        <v>82</v>
      </c>
      <c r="D18" s="27" t="s">
        <v>82</v>
      </c>
      <c r="E18" s="27" t="s">
        <v>82</v>
      </c>
      <c r="F18" s="27" t="s">
        <v>82</v>
      </c>
      <c r="G18" s="28">
        <v>40</v>
      </c>
      <c r="H18" s="6">
        <v>10</v>
      </c>
      <c r="I18" s="29"/>
      <c r="K18" s="30">
        <v>10</v>
      </c>
      <c r="N18" s="30">
        <v>10</v>
      </c>
      <c r="O18" s="30">
        <v>10</v>
      </c>
      <c r="U18" s="31">
        <f t="shared" si="3"/>
        <v>30</v>
      </c>
      <c r="V18" s="32">
        <v>4</v>
      </c>
      <c r="W18" s="24">
        <v>4</v>
      </c>
      <c r="X18" s="24">
        <v>4</v>
      </c>
      <c r="Y18" s="24">
        <v>2</v>
      </c>
      <c r="Z18" s="24">
        <v>2</v>
      </c>
      <c r="AA18" s="31">
        <f t="shared" si="1"/>
        <v>16</v>
      </c>
      <c r="AB18" s="6">
        <v>10</v>
      </c>
      <c r="AC18" s="6" t="s">
        <v>105</v>
      </c>
      <c r="AD18" s="6">
        <f t="shared" si="2"/>
        <v>106</v>
      </c>
      <c r="AE18" s="25"/>
    </row>
    <row r="19" spans="1:31" x14ac:dyDescent="0.2">
      <c r="A19" s="25" t="s">
        <v>17</v>
      </c>
      <c r="B19" s="26" t="s">
        <v>76</v>
      </c>
      <c r="C19" s="27" t="s">
        <v>83</v>
      </c>
      <c r="D19" s="27" t="s">
        <v>82</v>
      </c>
      <c r="E19" s="27" t="s">
        <v>82</v>
      </c>
      <c r="F19" s="27" t="s">
        <v>82</v>
      </c>
      <c r="G19" s="28">
        <v>30</v>
      </c>
      <c r="H19" s="6">
        <v>10</v>
      </c>
      <c r="I19" s="29"/>
      <c r="S19" s="30">
        <v>10</v>
      </c>
      <c r="U19" s="31">
        <f t="shared" si="3"/>
        <v>10</v>
      </c>
      <c r="V19" s="32">
        <v>4</v>
      </c>
      <c r="W19" s="24">
        <v>4</v>
      </c>
      <c r="Y19" s="24">
        <v>2</v>
      </c>
      <c r="Z19" s="24">
        <v>2</v>
      </c>
      <c r="AA19" s="31">
        <f t="shared" si="1"/>
        <v>12</v>
      </c>
      <c r="AB19" s="6"/>
      <c r="AC19" s="6"/>
      <c r="AD19" s="5">
        <f t="shared" si="2"/>
        <v>62</v>
      </c>
      <c r="AE19" s="6"/>
    </row>
    <row r="20" spans="1:31" x14ac:dyDescent="0.2">
      <c r="A20" s="25" t="s">
        <v>18</v>
      </c>
      <c r="B20" s="26" t="s">
        <v>82</v>
      </c>
      <c r="C20" s="27" t="s">
        <v>82</v>
      </c>
      <c r="D20" s="27" t="s">
        <v>82</v>
      </c>
      <c r="E20" s="27" t="s">
        <v>82</v>
      </c>
      <c r="F20" s="27" t="s">
        <v>82</v>
      </c>
      <c r="G20" s="28">
        <v>40</v>
      </c>
      <c r="H20" s="6"/>
      <c r="I20" s="29">
        <v>10</v>
      </c>
      <c r="U20" s="31">
        <f t="shared" si="3"/>
        <v>10</v>
      </c>
      <c r="V20" s="32">
        <v>4</v>
      </c>
      <c r="W20" s="24">
        <v>4</v>
      </c>
      <c r="X20" s="24">
        <v>4</v>
      </c>
      <c r="Y20" s="24">
        <v>2</v>
      </c>
      <c r="Z20" s="24">
        <v>2</v>
      </c>
      <c r="AA20" s="31">
        <f t="shared" si="1"/>
        <v>16</v>
      </c>
      <c r="AB20" s="6"/>
      <c r="AC20" s="6"/>
      <c r="AD20" s="5">
        <f t="shared" si="2"/>
        <v>66</v>
      </c>
      <c r="AE20" s="6"/>
    </row>
    <row r="21" spans="1:31" x14ac:dyDescent="0.2">
      <c r="A21" s="25" t="s">
        <v>19</v>
      </c>
      <c r="B21" s="26" t="s">
        <v>82</v>
      </c>
      <c r="C21" s="27" t="s">
        <v>82</v>
      </c>
      <c r="D21" s="27" t="s">
        <v>82</v>
      </c>
      <c r="E21" s="27" t="s">
        <v>82</v>
      </c>
      <c r="F21" s="27" t="s">
        <v>82</v>
      </c>
      <c r="G21" s="28">
        <v>40</v>
      </c>
      <c r="H21" s="6"/>
      <c r="I21" s="29"/>
      <c r="U21" s="31">
        <f t="shared" si="3"/>
        <v>0</v>
      </c>
      <c r="V21" s="32">
        <v>4</v>
      </c>
      <c r="W21" s="24">
        <v>4</v>
      </c>
      <c r="X21" s="24">
        <v>4</v>
      </c>
      <c r="Y21" s="24">
        <v>2</v>
      </c>
      <c r="Z21" s="24">
        <v>2</v>
      </c>
      <c r="AA21" s="31">
        <f t="shared" si="1"/>
        <v>16</v>
      </c>
      <c r="AB21" s="6"/>
      <c r="AC21" s="6"/>
      <c r="AD21" s="5">
        <f t="shared" si="2"/>
        <v>56</v>
      </c>
      <c r="AE21" s="6"/>
    </row>
    <row r="22" spans="1:31" x14ac:dyDescent="0.2">
      <c r="A22" s="25" t="s">
        <v>20</v>
      </c>
      <c r="B22" s="26" t="s">
        <v>82</v>
      </c>
      <c r="C22" s="27" t="s">
        <v>82</v>
      </c>
      <c r="D22" s="27" t="s">
        <v>82</v>
      </c>
      <c r="E22" s="27" t="s">
        <v>82</v>
      </c>
      <c r="F22" s="27" t="s">
        <v>82</v>
      </c>
      <c r="G22" s="28">
        <v>40</v>
      </c>
      <c r="H22" s="6">
        <v>10</v>
      </c>
      <c r="I22" s="29"/>
      <c r="P22" s="30">
        <v>10</v>
      </c>
      <c r="U22" s="31">
        <f t="shared" si="3"/>
        <v>10</v>
      </c>
      <c r="V22" s="32"/>
      <c r="W22" s="24">
        <v>4</v>
      </c>
      <c r="X22" s="24">
        <v>4</v>
      </c>
      <c r="Y22" s="24">
        <v>2</v>
      </c>
      <c r="Z22" s="24">
        <v>2</v>
      </c>
      <c r="AA22" s="31">
        <f t="shared" si="1"/>
        <v>12</v>
      </c>
      <c r="AB22" s="6"/>
      <c r="AC22" s="6"/>
      <c r="AD22" s="5">
        <f t="shared" si="2"/>
        <v>72</v>
      </c>
      <c r="AE22" s="6"/>
    </row>
    <row r="23" spans="1:31" x14ac:dyDescent="0.2">
      <c r="A23" s="25" t="s">
        <v>21</v>
      </c>
      <c r="B23" s="26" t="s">
        <v>82</v>
      </c>
      <c r="C23" s="27" t="s">
        <v>82</v>
      </c>
      <c r="D23" s="27" t="s">
        <v>82</v>
      </c>
      <c r="E23" s="27" t="s">
        <v>82</v>
      </c>
      <c r="F23" s="27" t="s">
        <v>82</v>
      </c>
      <c r="G23" s="28">
        <v>40</v>
      </c>
      <c r="H23" s="6">
        <v>10</v>
      </c>
      <c r="I23" s="29"/>
      <c r="J23" s="30">
        <v>8</v>
      </c>
      <c r="Q23" s="30">
        <v>8</v>
      </c>
      <c r="R23" s="30">
        <v>10</v>
      </c>
      <c r="U23" s="31">
        <f t="shared" si="3"/>
        <v>26</v>
      </c>
      <c r="V23" s="32">
        <v>4</v>
      </c>
      <c r="W23" s="24">
        <v>4</v>
      </c>
      <c r="X23" s="24">
        <v>4</v>
      </c>
      <c r="Y23" s="24">
        <v>2</v>
      </c>
      <c r="Z23" s="24">
        <v>2</v>
      </c>
      <c r="AA23" s="31">
        <f t="shared" si="1"/>
        <v>16</v>
      </c>
      <c r="AB23" s="6"/>
      <c r="AC23" s="6"/>
      <c r="AD23" s="5">
        <f t="shared" si="2"/>
        <v>92</v>
      </c>
      <c r="AE23" s="6" t="s">
        <v>112</v>
      </c>
    </row>
    <row r="24" spans="1:31" x14ac:dyDescent="0.2">
      <c r="A24" s="25" t="s">
        <v>22</v>
      </c>
      <c r="B24" s="26" t="s">
        <v>82</v>
      </c>
      <c r="C24" s="27" t="s">
        <v>82</v>
      </c>
      <c r="D24" s="27" t="s">
        <v>82</v>
      </c>
      <c r="E24" s="27" t="s">
        <v>82</v>
      </c>
      <c r="F24" s="27" t="s">
        <v>82</v>
      </c>
      <c r="G24" s="28">
        <v>40</v>
      </c>
      <c r="H24" s="6">
        <v>10</v>
      </c>
      <c r="I24" s="29"/>
      <c r="M24" s="30">
        <v>0</v>
      </c>
      <c r="S24" s="30">
        <v>8</v>
      </c>
      <c r="U24" s="31">
        <f t="shared" si="3"/>
        <v>8</v>
      </c>
      <c r="V24" s="32">
        <v>4</v>
      </c>
      <c r="W24" s="24">
        <v>4</v>
      </c>
      <c r="X24" s="24">
        <v>4</v>
      </c>
      <c r="Y24" s="24">
        <v>2</v>
      </c>
      <c r="Z24" s="24">
        <v>2</v>
      </c>
      <c r="AA24" s="31">
        <f t="shared" si="1"/>
        <v>16</v>
      </c>
      <c r="AB24" s="6">
        <v>0</v>
      </c>
      <c r="AC24" s="6"/>
      <c r="AD24" s="5">
        <f t="shared" si="2"/>
        <v>74</v>
      </c>
      <c r="AE24" s="25"/>
    </row>
    <row r="25" spans="1:31" x14ac:dyDescent="0.2">
      <c r="A25" s="25" t="s">
        <v>23</v>
      </c>
      <c r="B25" s="26" t="s">
        <v>82</v>
      </c>
      <c r="C25" s="27" t="s">
        <v>82</v>
      </c>
      <c r="D25" s="27" t="s">
        <v>82</v>
      </c>
      <c r="E25" s="27" t="s">
        <v>82</v>
      </c>
      <c r="F25" s="27" t="s">
        <v>82</v>
      </c>
      <c r="G25" s="28">
        <v>40</v>
      </c>
      <c r="H25" s="6">
        <v>10</v>
      </c>
      <c r="I25" s="29">
        <v>10</v>
      </c>
      <c r="J25" s="30">
        <v>10</v>
      </c>
      <c r="K25" s="30">
        <v>0</v>
      </c>
      <c r="U25" s="31">
        <f t="shared" si="3"/>
        <v>20</v>
      </c>
      <c r="V25" s="32">
        <v>4</v>
      </c>
      <c r="W25" s="24">
        <v>4</v>
      </c>
      <c r="X25" s="24">
        <v>4</v>
      </c>
      <c r="Y25" s="24">
        <v>2</v>
      </c>
      <c r="Z25" s="24">
        <v>2</v>
      </c>
      <c r="AA25" s="31">
        <f t="shared" si="1"/>
        <v>16</v>
      </c>
      <c r="AB25" s="6">
        <v>10</v>
      </c>
      <c r="AC25" s="6" t="s">
        <v>105</v>
      </c>
      <c r="AD25" s="6">
        <f t="shared" si="2"/>
        <v>96</v>
      </c>
      <c r="AE25" s="6"/>
    </row>
    <row r="26" spans="1:31" x14ac:dyDescent="0.2">
      <c r="A26" s="25" t="s">
        <v>24</v>
      </c>
      <c r="B26" s="26" t="s">
        <v>82</v>
      </c>
      <c r="C26" s="27" t="s">
        <v>82</v>
      </c>
      <c r="D26" s="27" t="s">
        <v>82</v>
      </c>
      <c r="E26" s="27" t="s">
        <v>82</v>
      </c>
      <c r="F26" s="27" t="s">
        <v>82</v>
      </c>
      <c r="G26" s="28">
        <v>40</v>
      </c>
      <c r="H26" s="6">
        <v>10</v>
      </c>
      <c r="I26" s="29"/>
      <c r="K26" s="30">
        <v>10</v>
      </c>
      <c r="N26" s="30">
        <v>10</v>
      </c>
      <c r="O26" s="30">
        <v>10</v>
      </c>
      <c r="U26" s="31">
        <f t="shared" si="3"/>
        <v>30</v>
      </c>
      <c r="V26" s="32">
        <v>4</v>
      </c>
      <c r="W26" s="24">
        <v>4</v>
      </c>
      <c r="X26" s="24">
        <v>4</v>
      </c>
      <c r="Y26" s="24">
        <v>2</v>
      </c>
      <c r="Z26" s="24">
        <v>2</v>
      </c>
      <c r="AA26" s="31">
        <f t="shared" si="1"/>
        <v>16</v>
      </c>
      <c r="AB26" s="6">
        <v>10</v>
      </c>
      <c r="AC26" s="6" t="s">
        <v>105</v>
      </c>
      <c r="AD26" s="6">
        <f t="shared" si="2"/>
        <v>106</v>
      </c>
      <c r="AE26" s="25"/>
    </row>
    <row r="27" spans="1:31" x14ac:dyDescent="0.2">
      <c r="A27" s="25" t="s">
        <v>25</v>
      </c>
      <c r="B27" s="26" t="s">
        <v>82</v>
      </c>
      <c r="C27" s="27" t="s">
        <v>82</v>
      </c>
      <c r="D27" s="27" t="s">
        <v>82</v>
      </c>
      <c r="E27" s="27" t="s">
        <v>82</v>
      </c>
      <c r="F27" s="27" t="s">
        <v>82</v>
      </c>
      <c r="G27" s="28">
        <v>40</v>
      </c>
      <c r="H27" s="6">
        <v>10</v>
      </c>
      <c r="I27" s="29"/>
      <c r="R27" s="30">
        <v>20</v>
      </c>
      <c r="S27" s="30">
        <v>10</v>
      </c>
      <c r="U27" s="31">
        <f t="shared" si="3"/>
        <v>30</v>
      </c>
      <c r="V27" s="32">
        <v>4</v>
      </c>
      <c r="W27" s="24">
        <v>4</v>
      </c>
      <c r="X27" s="24">
        <v>4</v>
      </c>
      <c r="Y27" s="24">
        <v>2</v>
      </c>
      <c r="Z27" s="24">
        <v>2</v>
      </c>
      <c r="AA27" s="31">
        <f t="shared" si="1"/>
        <v>16</v>
      </c>
      <c r="AB27" s="6"/>
      <c r="AC27" s="6"/>
      <c r="AD27" s="5">
        <f t="shared" si="2"/>
        <v>96</v>
      </c>
      <c r="AE27" s="6" t="s">
        <v>112</v>
      </c>
    </row>
    <row r="28" spans="1:31" x14ac:dyDescent="0.2">
      <c r="A28" s="25" t="s">
        <v>26</v>
      </c>
      <c r="B28" s="26" t="s">
        <v>82</v>
      </c>
      <c r="C28" s="27" t="s">
        <v>82</v>
      </c>
      <c r="D28" s="27" t="s">
        <v>82</v>
      </c>
      <c r="E28" s="27" t="s">
        <v>82</v>
      </c>
      <c r="F28" s="27" t="s">
        <v>82</v>
      </c>
      <c r="G28" s="28">
        <v>40</v>
      </c>
      <c r="H28" s="6">
        <v>10</v>
      </c>
      <c r="I28" s="29"/>
      <c r="U28" s="31">
        <f t="shared" si="3"/>
        <v>0</v>
      </c>
      <c r="V28" s="32">
        <v>4</v>
      </c>
      <c r="W28" s="24">
        <v>4</v>
      </c>
      <c r="X28" s="24">
        <v>4</v>
      </c>
      <c r="AA28" s="31">
        <f t="shared" si="1"/>
        <v>12</v>
      </c>
      <c r="AB28" s="6"/>
      <c r="AC28" s="6"/>
      <c r="AD28" s="5">
        <f t="shared" si="2"/>
        <v>62</v>
      </c>
      <c r="AE28" s="6"/>
    </row>
    <row r="29" spans="1:31" x14ac:dyDescent="0.2">
      <c r="A29" s="25" t="s">
        <v>27</v>
      </c>
      <c r="B29" s="26" t="s">
        <v>82</v>
      </c>
      <c r="C29" s="27" t="s">
        <v>82</v>
      </c>
      <c r="D29" s="27" t="s">
        <v>82</v>
      </c>
      <c r="E29" s="27" t="s">
        <v>82</v>
      </c>
      <c r="F29" s="27" t="s">
        <v>82</v>
      </c>
      <c r="G29" s="28">
        <v>40</v>
      </c>
      <c r="H29" s="6">
        <v>10</v>
      </c>
      <c r="I29" s="29">
        <v>20</v>
      </c>
      <c r="L29" s="30">
        <v>10</v>
      </c>
      <c r="U29" s="31">
        <f t="shared" si="3"/>
        <v>30</v>
      </c>
      <c r="V29" s="32">
        <v>4</v>
      </c>
      <c r="W29" s="24">
        <v>4</v>
      </c>
      <c r="X29" s="24">
        <v>4</v>
      </c>
      <c r="Y29" s="24">
        <v>2</v>
      </c>
      <c r="Z29" s="24">
        <v>2</v>
      </c>
      <c r="AA29" s="31">
        <f t="shared" si="1"/>
        <v>16</v>
      </c>
      <c r="AB29" s="6">
        <v>10</v>
      </c>
      <c r="AC29" s="6"/>
      <c r="AD29" s="5">
        <f t="shared" si="2"/>
        <v>106</v>
      </c>
      <c r="AE29" s="6" t="s">
        <v>112</v>
      </c>
    </row>
    <row r="30" spans="1:31" x14ac:dyDescent="0.2">
      <c r="A30" s="25" t="s">
        <v>28</v>
      </c>
      <c r="B30" s="26" t="s">
        <v>76</v>
      </c>
      <c r="C30" s="27" t="s">
        <v>82</v>
      </c>
      <c r="D30" s="27" t="s">
        <v>82</v>
      </c>
      <c r="E30" s="27" t="s">
        <v>83</v>
      </c>
      <c r="F30" s="27" t="s">
        <v>82</v>
      </c>
      <c r="G30" s="28">
        <v>30</v>
      </c>
      <c r="H30" s="6"/>
      <c r="I30" s="29"/>
      <c r="U30" s="31">
        <f t="shared" si="3"/>
        <v>0</v>
      </c>
      <c r="V30" s="32"/>
      <c r="X30" s="24">
        <v>4</v>
      </c>
      <c r="AA30" s="31">
        <f t="shared" si="1"/>
        <v>4</v>
      </c>
      <c r="AB30" s="6"/>
      <c r="AC30" s="6"/>
      <c r="AD30" s="5">
        <f t="shared" si="2"/>
        <v>34</v>
      </c>
      <c r="AE30" s="6"/>
    </row>
    <row r="31" spans="1:31" x14ac:dyDescent="0.2">
      <c r="A31" s="25" t="s">
        <v>29</v>
      </c>
      <c r="B31" s="26" t="s">
        <v>82</v>
      </c>
      <c r="C31" s="27" t="s">
        <v>82</v>
      </c>
      <c r="D31" s="27" t="s">
        <v>82</v>
      </c>
      <c r="E31" s="27" t="s">
        <v>82</v>
      </c>
      <c r="F31" s="27" t="s">
        <v>82</v>
      </c>
      <c r="G31" s="28">
        <v>40</v>
      </c>
      <c r="H31" s="6">
        <v>8</v>
      </c>
      <c r="I31" s="29"/>
      <c r="J31" s="30">
        <v>10</v>
      </c>
      <c r="K31" s="30">
        <v>10</v>
      </c>
      <c r="U31" s="31">
        <f t="shared" si="3"/>
        <v>20</v>
      </c>
      <c r="V31" s="32">
        <v>4</v>
      </c>
      <c r="W31" s="24">
        <v>4</v>
      </c>
      <c r="X31" s="24">
        <v>4</v>
      </c>
      <c r="Y31" s="24">
        <v>2</v>
      </c>
      <c r="Z31" s="24">
        <v>2</v>
      </c>
      <c r="AA31" s="31">
        <f t="shared" si="1"/>
        <v>16</v>
      </c>
      <c r="AB31" s="6">
        <v>10</v>
      </c>
      <c r="AC31" s="6"/>
      <c r="AD31" s="5">
        <f t="shared" si="2"/>
        <v>94</v>
      </c>
      <c r="AE31" s="6"/>
    </row>
    <row r="32" spans="1:31" x14ac:dyDescent="0.2">
      <c r="A32" s="25" t="s">
        <v>30</v>
      </c>
      <c r="B32" s="26" t="s">
        <v>82</v>
      </c>
      <c r="C32" s="27" t="s">
        <v>82</v>
      </c>
      <c r="D32" s="27" t="s">
        <v>82</v>
      </c>
      <c r="E32" s="27" t="s">
        <v>82</v>
      </c>
      <c r="F32" s="27" t="s">
        <v>82</v>
      </c>
      <c r="G32" s="28">
        <v>40</v>
      </c>
      <c r="H32" s="6">
        <v>10</v>
      </c>
      <c r="I32" s="29">
        <v>10</v>
      </c>
      <c r="N32" s="30">
        <v>10</v>
      </c>
      <c r="U32" s="31">
        <f t="shared" si="3"/>
        <v>20</v>
      </c>
      <c r="V32" s="32">
        <v>4</v>
      </c>
      <c r="W32" s="24">
        <v>4</v>
      </c>
      <c r="X32" s="24">
        <v>4</v>
      </c>
      <c r="Y32" s="24">
        <v>2</v>
      </c>
      <c r="Z32" s="24">
        <v>2</v>
      </c>
      <c r="AA32" s="31">
        <f t="shared" si="1"/>
        <v>16</v>
      </c>
      <c r="AB32" s="6">
        <v>10</v>
      </c>
      <c r="AC32" s="6" t="s">
        <v>105</v>
      </c>
      <c r="AD32" s="6">
        <f t="shared" si="2"/>
        <v>96</v>
      </c>
      <c r="AE32" s="6"/>
    </row>
    <row r="33" spans="1:31" x14ac:dyDescent="0.2">
      <c r="A33" s="25" t="s">
        <v>31</v>
      </c>
      <c r="B33" s="26" t="s">
        <v>82</v>
      </c>
      <c r="C33" s="27" t="s">
        <v>82</v>
      </c>
      <c r="D33" s="27" t="s">
        <v>82</v>
      </c>
      <c r="E33" s="27" t="s">
        <v>82</v>
      </c>
      <c r="F33" s="27" t="s">
        <v>82</v>
      </c>
      <c r="G33" s="28">
        <v>40</v>
      </c>
      <c r="H33" s="6">
        <v>10</v>
      </c>
      <c r="I33" s="29">
        <v>10</v>
      </c>
      <c r="U33" s="31">
        <f t="shared" si="3"/>
        <v>10</v>
      </c>
      <c r="V33" s="32">
        <v>4</v>
      </c>
      <c r="W33" s="24">
        <v>4</v>
      </c>
      <c r="X33" s="24">
        <v>4</v>
      </c>
      <c r="Y33" s="24">
        <v>2</v>
      </c>
      <c r="Z33" s="24">
        <v>2</v>
      </c>
      <c r="AA33" s="31">
        <f t="shared" si="1"/>
        <v>16</v>
      </c>
      <c r="AB33" s="6"/>
      <c r="AC33" s="6"/>
      <c r="AD33" s="5">
        <f t="shared" si="2"/>
        <v>76</v>
      </c>
      <c r="AE33" s="6"/>
    </row>
    <row r="34" spans="1:31" x14ac:dyDescent="0.2">
      <c r="A34" s="25" t="s">
        <v>32</v>
      </c>
      <c r="B34" s="26" t="s">
        <v>82</v>
      </c>
      <c r="C34" s="27" t="s">
        <v>82</v>
      </c>
      <c r="D34" s="27" t="s">
        <v>82</v>
      </c>
      <c r="E34" s="27" t="s">
        <v>82</v>
      </c>
      <c r="F34" s="27" t="s">
        <v>82</v>
      </c>
      <c r="G34" s="28">
        <v>40</v>
      </c>
      <c r="H34" s="6">
        <v>10</v>
      </c>
      <c r="I34" s="29"/>
      <c r="L34" s="30">
        <v>10</v>
      </c>
      <c r="Q34" s="30">
        <v>10</v>
      </c>
      <c r="U34" s="31">
        <f t="shared" si="3"/>
        <v>20</v>
      </c>
      <c r="V34" s="32"/>
      <c r="W34" s="24">
        <v>4</v>
      </c>
      <c r="X34" s="24">
        <v>4</v>
      </c>
      <c r="Y34" s="24">
        <v>2</v>
      </c>
      <c r="Z34" s="24">
        <v>2</v>
      </c>
      <c r="AA34" s="31">
        <f t="shared" si="1"/>
        <v>12</v>
      </c>
      <c r="AB34" s="6">
        <v>10</v>
      </c>
      <c r="AC34" s="6" t="s">
        <v>105</v>
      </c>
      <c r="AD34" s="6">
        <f t="shared" si="2"/>
        <v>92</v>
      </c>
      <c r="AE34" s="6"/>
    </row>
    <row r="35" spans="1:31" x14ac:dyDescent="0.2">
      <c r="A35" s="25" t="s">
        <v>33</v>
      </c>
      <c r="B35" s="26" t="s">
        <v>82</v>
      </c>
      <c r="C35" s="27" t="s">
        <v>82</v>
      </c>
      <c r="D35" s="27" t="s">
        <v>82</v>
      </c>
      <c r="E35" s="27" t="s">
        <v>82</v>
      </c>
      <c r="F35" s="27" t="s">
        <v>82</v>
      </c>
      <c r="G35" s="28">
        <v>40</v>
      </c>
      <c r="H35" s="6">
        <v>8</v>
      </c>
      <c r="I35" s="29"/>
      <c r="R35" s="30">
        <v>8</v>
      </c>
      <c r="S35" s="30">
        <v>10</v>
      </c>
      <c r="U35" s="31">
        <f t="shared" si="3"/>
        <v>18</v>
      </c>
      <c r="V35" s="32">
        <v>4</v>
      </c>
      <c r="W35" s="24">
        <v>4</v>
      </c>
      <c r="X35" s="24">
        <v>4</v>
      </c>
      <c r="Y35" s="24">
        <v>2</v>
      </c>
      <c r="Z35" s="24">
        <v>2</v>
      </c>
      <c r="AA35" s="31">
        <f t="shared" si="1"/>
        <v>16</v>
      </c>
      <c r="AB35" s="6"/>
      <c r="AC35" s="6"/>
      <c r="AD35" s="5">
        <f t="shared" si="2"/>
        <v>82</v>
      </c>
      <c r="AE35" s="6"/>
    </row>
    <row r="36" spans="1:31" x14ac:dyDescent="0.2">
      <c r="A36" s="25" t="s">
        <v>34</v>
      </c>
      <c r="B36" s="26" t="s">
        <v>82</v>
      </c>
      <c r="C36" s="27" t="s">
        <v>82</v>
      </c>
      <c r="D36" s="27" t="s">
        <v>82</v>
      </c>
      <c r="E36" s="27" t="s">
        <v>82</v>
      </c>
      <c r="F36" s="27" t="s">
        <v>82</v>
      </c>
      <c r="G36" s="28">
        <v>40</v>
      </c>
      <c r="H36" s="6">
        <v>10</v>
      </c>
      <c r="I36" s="29">
        <v>20</v>
      </c>
      <c r="U36" s="31">
        <f t="shared" si="3"/>
        <v>20</v>
      </c>
      <c r="V36" s="32">
        <v>4</v>
      </c>
      <c r="W36" s="24">
        <v>4</v>
      </c>
      <c r="Y36" s="24">
        <v>2</v>
      </c>
      <c r="Z36" s="24">
        <v>2</v>
      </c>
      <c r="AA36" s="31">
        <f t="shared" si="1"/>
        <v>12</v>
      </c>
      <c r="AB36" s="6"/>
      <c r="AC36" s="6"/>
      <c r="AD36" s="5">
        <f t="shared" si="2"/>
        <v>82</v>
      </c>
      <c r="AE36" s="25"/>
    </row>
    <row r="37" spans="1:31" x14ac:dyDescent="0.2">
      <c r="A37" s="25" t="s">
        <v>35</v>
      </c>
      <c r="B37" s="26" t="s">
        <v>82</v>
      </c>
      <c r="C37" s="27" t="s">
        <v>82</v>
      </c>
      <c r="D37" s="27" t="s">
        <v>82</v>
      </c>
      <c r="E37" s="27" t="s">
        <v>82</v>
      </c>
      <c r="F37" s="27" t="s">
        <v>82</v>
      </c>
      <c r="G37" s="28">
        <v>40</v>
      </c>
      <c r="H37" s="6">
        <v>10</v>
      </c>
      <c r="I37" s="29"/>
      <c r="K37" s="30">
        <v>10</v>
      </c>
      <c r="M37" s="30">
        <v>10</v>
      </c>
      <c r="S37" s="30">
        <v>8</v>
      </c>
      <c r="U37" s="31">
        <f t="shared" si="3"/>
        <v>28</v>
      </c>
      <c r="V37" s="32">
        <v>4</v>
      </c>
      <c r="W37" s="24">
        <v>4</v>
      </c>
      <c r="X37" s="24">
        <v>4</v>
      </c>
      <c r="Y37" s="24">
        <v>2</v>
      </c>
      <c r="Z37" s="24">
        <v>2</v>
      </c>
      <c r="AA37" s="31">
        <f t="shared" si="1"/>
        <v>16</v>
      </c>
      <c r="AB37" s="6"/>
      <c r="AC37" s="6"/>
      <c r="AD37" s="5">
        <f t="shared" si="2"/>
        <v>94</v>
      </c>
      <c r="AE37" s="6" t="s">
        <v>112</v>
      </c>
    </row>
    <row r="38" spans="1:31" x14ac:dyDescent="0.2">
      <c r="A38" s="25" t="s">
        <v>36</v>
      </c>
      <c r="B38" s="26" t="s">
        <v>82</v>
      </c>
      <c r="C38" s="27" t="s">
        <v>82</v>
      </c>
      <c r="D38" s="27" t="s">
        <v>82</v>
      </c>
      <c r="E38" s="27" t="s">
        <v>82</v>
      </c>
      <c r="F38" s="27" t="s">
        <v>82</v>
      </c>
      <c r="G38" s="28">
        <v>40</v>
      </c>
      <c r="H38" s="6"/>
      <c r="I38" s="29"/>
      <c r="U38" s="31">
        <f t="shared" si="3"/>
        <v>0</v>
      </c>
      <c r="V38" s="32">
        <v>4</v>
      </c>
      <c r="W38" s="24">
        <v>4</v>
      </c>
      <c r="X38" s="24">
        <v>4</v>
      </c>
      <c r="Y38" s="24">
        <v>2</v>
      </c>
      <c r="Z38" s="24">
        <v>2</v>
      </c>
      <c r="AA38" s="31">
        <f t="shared" si="1"/>
        <v>16</v>
      </c>
      <c r="AB38" s="6"/>
      <c r="AC38" s="6"/>
      <c r="AD38" s="5">
        <f t="shared" si="2"/>
        <v>56</v>
      </c>
      <c r="AE38" s="6"/>
    </row>
    <row r="39" spans="1:31" x14ac:dyDescent="0.2">
      <c r="A39" s="25" t="s">
        <v>37</v>
      </c>
      <c r="B39" s="26" t="s">
        <v>82</v>
      </c>
      <c r="C39" s="27" t="s">
        <v>82</v>
      </c>
      <c r="D39" s="27" t="s">
        <v>82</v>
      </c>
      <c r="E39" s="27" t="s">
        <v>82</v>
      </c>
      <c r="F39" s="27" t="s">
        <v>82</v>
      </c>
      <c r="G39" s="28">
        <v>40</v>
      </c>
      <c r="H39" s="6">
        <v>10</v>
      </c>
      <c r="I39" s="29">
        <v>10</v>
      </c>
      <c r="J39" s="30">
        <v>10</v>
      </c>
      <c r="U39" s="31">
        <f t="shared" si="3"/>
        <v>20</v>
      </c>
      <c r="V39" s="32">
        <v>4</v>
      </c>
      <c r="W39" s="24">
        <v>4</v>
      </c>
      <c r="X39" s="24">
        <v>4</v>
      </c>
      <c r="Y39" s="24">
        <v>2</v>
      </c>
      <c r="Z39" s="24">
        <v>2</v>
      </c>
      <c r="AA39" s="31">
        <f t="shared" si="1"/>
        <v>16</v>
      </c>
      <c r="AB39" s="6">
        <v>10</v>
      </c>
      <c r="AC39" s="6" t="s">
        <v>105</v>
      </c>
      <c r="AD39" s="6">
        <f t="shared" si="2"/>
        <v>96</v>
      </c>
      <c r="AE39" s="6"/>
    </row>
    <row r="40" spans="1:31" x14ac:dyDescent="0.2">
      <c r="A40" s="25" t="s">
        <v>38</v>
      </c>
      <c r="B40" s="26" t="s">
        <v>82</v>
      </c>
      <c r="C40" s="27" t="s">
        <v>82</v>
      </c>
      <c r="D40" s="27" t="s">
        <v>82</v>
      </c>
      <c r="E40" s="27" t="s">
        <v>82</v>
      </c>
      <c r="F40" s="27" t="s">
        <v>82</v>
      </c>
      <c r="G40" s="28">
        <v>40</v>
      </c>
      <c r="H40" s="6"/>
      <c r="I40" s="29"/>
      <c r="K40" s="30">
        <v>10</v>
      </c>
      <c r="S40" s="30">
        <v>10</v>
      </c>
      <c r="U40" s="31">
        <f t="shared" si="3"/>
        <v>20</v>
      </c>
      <c r="V40" s="32">
        <v>4</v>
      </c>
      <c r="W40" s="24">
        <v>4</v>
      </c>
      <c r="X40" s="24">
        <v>4</v>
      </c>
      <c r="Y40" s="24">
        <v>2</v>
      </c>
      <c r="Z40" s="24">
        <v>2</v>
      </c>
      <c r="AA40" s="31">
        <f t="shared" si="1"/>
        <v>16</v>
      </c>
      <c r="AB40" s="6"/>
      <c r="AC40" s="6"/>
      <c r="AD40" s="5">
        <f t="shared" si="2"/>
        <v>76</v>
      </c>
      <c r="AE40" s="6"/>
    </row>
    <row r="41" spans="1:31" x14ac:dyDescent="0.2">
      <c r="A41" s="25" t="s">
        <v>39</v>
      </c>
      <c r="B41" s="26" t="s">
        <v>82</v>
      </c>
      <c r="C41" s="27" t="s">
        <v>82</v>
      </c>
      <c r="D41" s="27" t="s">
        <v>82</v>
      </c>
      <c r="E41" s="27" t="s">
        <v>82</v>
      </c>
      <c r="F41" s="27" t="s">
        <v>82</v>
      </c>
      <c r="G41" s="28">
        <v>40</v>
      </c>
      <c r="H41" s="6">
        <v>10</v>
      </c>
      <c r="I41" s="29"/>
      <c r="Q41" s="30">
        <v>10</v>
      </c>
      <c r="R41" s="30">
        <v>10</v>
      </c>
      <c r="U41" s="31">
        <f t="shared" si="3"/>
        <v>20</v>
      </c>
      <c r="V41" s="32">
        <v>4</v>
      </c>
      <c r="W41" s="24">
        <v>4</v>
      </c>
      <c r="X41" s="24">
        <v>4</v>
      </c>
      <c r="Y41" s="24">
        <v>2</v>
      </c>
      <c r="Z41" s="24">
        <v>2</v>
      </c>
      <c r="AA41" s="31">
        <f t="shared" si="1"/>
        <v>16</v>
      </c>
      <c r="AB41" s="6"/>
      <c r="AC41" s="6"/>
      <c r="AD41" s="5">
        <f t="shared" si="2"/>
        <v>86</v>
      </c>
      <c r="AE41" s="6"/>
    </row>
    <row r="42" spans="1:31" x14ac:dyDescent="0.2">
      <c r="A42" s="25" t="s">
        <v>40</v>
      </c>
      <c r="B42" s="26" t="s">
        <v>82</v>
      </c>
      <c r="C42" s="27" t="s">
        <v>82</v>
      </c>
      <c r="D42" s="27" t="s">
        <v>83</v>
      </c>
      <c r="E42" s="27" t="s">
        <v>82</v>
      </c>
      <c r="F42" s="27" t="s">
        <v>82</v>
      </c>
      <c r="G42" s="28">
        <v>30</v>
      </c>
      <c r="H42" s="6">
        <v>0</v>
      </c>
      <c r="I42" s="29"/>
      <c r="R42" s="30">
        <v>10</v>
      </c>
      <c r="S42" s="30">
        <v>10</v>
      </c>
      <c r="U42" s="31">
        <f t="shared" si="3"/>
        <v>20</v>
      </c>
      <c r="V42" s="32"/>
      <c r="W42" s="24">
        <v>4</v>
      </c>
      <c r="X42" s="24">
        <v>4</v>
      </c>
      <c r="Y42" s="24">
        <v>2</v>
      </c>
      <c r="Z42" s="24">
        <v>2</v>
      </c>
      <c r="AA42" s="31">
        <f t="shared" si="1"/>
        <v>12</v>
      </c>
      <c r="AB42" s="6"/>
      <c r="AC42" s="6"/>
      <c r="AD42" s="5">
        <f t="shared" si="2"/>
        <v>62</v>
      </c>
      <c r="AE42" s="6"/>
    </row>
    <row r="43" spans="1:31" x14ac:dyDescent="0.2">
      <c r="A43" s="25" t="s">
        <v>41</v>
      </c>
      <c r="B43" s="26" t="s">
        <v>82</v>
      </c>
      <c r="C43" s="27" t="s">
        <v>82</v>
      </c>
      <c r="D43" s="27" t="s">
        <v>82</v>
      </c>
      <c r="E43" s="27" t="s">
        <v>82</v>
      </c>
      <c r="F43" s="27" t="s">
        <v>82</v>
      </c>
      <c r="G43" s="28">
        <v>40</v>
      </c>
      <c r="H43" s="6">
        <v>10</v>
      </c>
      <c r="I43" s="29"/>
      <c r="J43" s="30">
        <v>10</v>
      </c>
      <c r="U43" s="31">
        <f t="shared" si="3"/>
        <v>10</v>
      </c>
      <c r="V43" s="32">
        <v>4</v>
      </c>
      <c r="W43" s="24">
        <v>4</v>
      </c>
      <c r="X43" s="24">
        <v>4</v>
      </c>
      <c r="Y43" s="24">
        <v>2</v>
      </c>
      <c r="Z43" s="24">
        <v>2</v>
      </c>
      <c r="AA43" s="31">
        <f t="shared" si="1"/>
        <v>16</v>
      </c>
      <c r="AB43" s="6">
        <v>10</v>
      </c>
      <c r="AC43" s="6" t="s">
        <v>105</v>
      </c>
      <c r="AD43" s="5">
        <f t="shared" si="2"/>
        <v>86</v>
      </c>
      <c r="AE43" s="25"/>
    </row>
    <row r="44" spans="1:31" x14ac:dyDescent="0.2">
      <c r="A44" s="25" t="s">
        <v>42</v>
      </c>
      <c r="B44" s="26" t="s">
        <v>82</v>
      </c>
      <c r="C44" s="27" t="s">
        <v>82</v>
      </c>
      <c r="D44" s="27" t="s">
        <v>82</v>
      </c>
      <c r="E44" s="27" t="s">
        <v>82</v>
      </c>
      <c r="F44" s="27" t="s">
        <v>82</v>
      </c>
      <c r="G44" s="28">
        <v>40</v>
      </c>
      <c r="H44" s="6">
        <v>8</v>
      </c>
      <c r="I44" s="29"/>
      <c r="K44" s="30">
        <v>8</v>
      </c>
      <c r="Q44" s="30">
        <v>8</v>
      </c>
      <c r="R44" s="30">
        <v>10</v>
      </c>
      <c r="U44" s="31">
        <f t="shared" si="3"/>
        <v>26</v>
      </c>
      <c r="V44" s="32">
        <v>4</v>
      </c>
      <c r="W44" s="24">
        <v>4</v>
      </c>
      <c r="X44" s="24">
        <v>4</v>
      </c>
      <c r="Y44" s="24">
        <v>2</v>
      </c>
      <c r="Z44" s="24">
        <v>2</v>
      </c>
      <c r="AA44" s="31">
        <f t="shared" si="1"/>
        <v>16</v>
      </c>
      <c r="AB44" s="6">
        <v>10</v>
      </c>
      <c r="AC44" s="6" t="s">
        <v>105</v>
      </c>
      <c r="AD44" s="6">
        <f t="shared" si="2"/>
        <v>100</v>
      </c>
      <c r="AE44" s="25"/>
    </row>
    <row r="45" spans="1:31" x14ac:dyDescent="0.2">
      <c r="A45" s="25" t="s">
        <v>43</v>
      </c>
      <c r="B45" s="26" t="s">
        <v>82</v>
      </c>
      <c r="C45" s="27" t="s">
        <v>82</v>
      </c>
      <c r="D45" s="27" t="s">
        <v>82</v>
      </c>
      <c r="E45" s="27" t="s">
        <v>76</v>
      </c>
      <c r="F45" s="27" t="s">
        <v>82</v>
      </c>
      <c r="G45" s="28">
        <v>30</v>
      </c>
      <c r="H45" s="6">
        <v>10</v>
      </c>
      <c r="I45" s="29"/>
      <c r="R45" s="30">
        <v>10</v>
      </c>
      <c r="U45" s="31">
        <f t="shared" si="3"/>
        <v>10</v>
      </c>
      <c r="V45" s="32">
        <v>4</v>
      </c>
      <c r="W45" s="24">
        <v>4</v>
      </c>
      <c r="X45" s="24">
        <v>0</v>
      </c>
      <c r="Y45" s="24">
        <v>2</v>
      </c>
      <c r="Z45" s="24">
        <v>2</v>
      </c>
      <c r="AA45" s="31">
        <f t="shared" si="1"/>
        <v>12</v>
      </c>
      <c r="AB45" s="6"/>
      <c r="AC45" s="6"/>
      <c r="AD45" s="5">
        <f t="shared" si="2"/>
        <v>62</v>
      </c>
      <c r="AE45" s="6"/>
    </row>
    <row r="46" spans="1:31" s="49" customFormat="1" x14ac:dyDescent="0.2">
      <c r="A46" s="44" t="s">
        <v>108</v>
      </c>
      <c r="B46" s="45"/>
      <c r="C46" s="46"/>
      <c r="D46" s="46"/>
      <c r="E46" s="46"/>
      <c r="F46" s="46"/>
      <c r="G46" s="12"/>
      <c r="H46" s="13"/>
      <c r="I46" s="47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16"/>
      <c r="V46" s="47"/>
      <c r="W46" s="48"/>
      <c r="X46" s="48"/>
      <c r="Y46" s="48"/>
      <c r="Z46" s="48"/>
      <c r="AA46" s="16"/>
      <c r="AB46" s="13"/>
      <c r="AC46" s="13"/>
      <c r="AD46" s="13"/>
      <c r="AE46" s="13"/>
    </row>
    <row r="47" spans="1:31" x14ac:dyDescent="0.2">
      <c r="A47" s="25" t="s">
        <v>44</v>
      </c>
      <c r="B47" s="26" t="s">
        <v>82</v>
      </c>
      <c r="C47" s="27" t="s">
        <v>82</v>
      </c>
      <c r="D47" s="27" t="s">
        <v>82</v>
      </c>
      <c r="E47" s="27" t="s">
        <v>82</v>
      </c>
      <c r="F47" s="27" t="s">
        <v>82</v>
      </c>
      <c r="G47" s="28">
        <v>40</v>
      </c>
      <c r="H47" s="6">
        <v>8</v>
      </c>
      <c r="I47" s="29">
        <v>6</v>
      </c>
      <c r="J47" s="30">
        <v>8</v>
      </c>
      <c r="N47" s="30">
        <v>8</v>
      </c>
      <c r="U47" s="31">
        <f t="shared" ref="U47:U56" si="4">SUM(I47:T47)</f>
        <v>22</v>
      </c>
      <c r="V47" s="32">
        <v>4</v>
      </c>
      <c r="W47" s="24">
        <v>4</v>
      </c>
      <c r="X47" s="24">
        <v>4</v>
      </c>
      <c r="Y47" s="24">
        <v>2</v>
      </c>
      <c r="Z47" s="24">
        <v>2</v>
      </c>
      <c r="AA47" s="31">
        <f t="shared" si="1"/>
        <v>16</v>
      </c>
      <c r="AB47" s="6">
        <v>10</v>
      </c>
      <c r="AC47" s="6" t="s">
        <v>105</v>
      </c>
      <c r="AD47" s="6">
        <f t="shared" si="2"/>
        <v>96</v>
      </c>
      <c r="AE47" s="6"/>
    </row>
    <row r="48" spans="1:31" x14ac:dyDescent="0.2">
      <c r="A48" s="25" t="s">
        <v>45</v>
      </c>
      <c r="B48" s="26" t="s">
        <v>82</v>
      </c>
      <c r="C48" s="27" t="s">
        <v>82</v>
      </c>
      <c r="D48" s="27" t="s">
        <v>82</v>
      </c>
      <c r="E48" s="27" t="s">
        <v>82</v>
      </c>
      <c r="F48" s="27" t="s">
        <v>82</v>
      </c>
      <c r="G48" s="28">
        <v>40</v>
      </c>
      <c r="H48" s="6">
        <v>10</v>
      </c>
      <c r="I48" s="29">
        <v>10</v>
      </c>
      <c r="J48" s="30">
        <v>10</v>
      </c>
      <c r="P48" s="30">
        <v>10</v>
      </c>
      <c r="U48" s="31">
        <f t="shared" si="4"/>
        <v>30</v>
      </c>
      <c r="V48" s="32"/>
      <c r="W48" s="24">
        <v>4</v>
      </c>
      <c r="Y48" s="24">
        <v>2</v>
      </c>
      <c r="Z48" s="24">
        <v>2</v>
      </c>
      <c r="AA48" s="31">
        <f t="shared" si="1"/>
        <v>8</v>
      </c>
      <c r="AB48" s="6">
        <v>10</v>
      </c>
      <c r="AC48" s="6"/>
      <c r="AD48" s="5">
        <f t="shared" si="2"/>
        <v>98</v>
      </c>
      <c r="AE48" s="6" t="s">
        <v>112</v>
      </c>
    </row>
    <row r="49" spans="1:31" x14ac:dyDescent="0.2">
      <c r="A49" s="25" t="s">
        <v>46</v>
      </c>
      <c r="B49" s="26" t="s">
        <v>82</v>
      </c>
      <c r="C49" s="27" t="s">
        <v>82</v>
      </c>
      <c r="D49" s="27" t="s">
        <v>82</v>
      </c>
      <c r="E49" s="27" t="s">
        <v>82</v>
      </c>
      <c r="F49" s="27" t="s">
        <v>82</v>
      </c>
      <c r="G49" s="28">
        <v>40</v>
      </c>
      <c r="H49" s="6">
        <v>10</v>
      </c>
      <c r="I49" s="29">
        <v>10</v>
      </c>
      <c r="J49" s="30">
        <v>8</v>
      </c>
      <c r="U49" s="31">
        <f t="shared" si="4"/>
        <v>18</v>
      </c>
      <c r="V49" s="32">
        <v>4</v>
      </c>
      <c r="W49" s="24">
        <v>4</v>
      </c>
      <c r="X49" s="24">
        <v>4</v>
      </c>
      <c r="Y49" s="24">
        <v>2</v>
      </c>
      <c r="Z49" s="24">
        <v>2</v>
      </c>
      <c r="AA49" s="31">
        <f t="shared" si="1"/>
        <v>16</v>
      </c>
      <c r="AB49" s="6">
        <v>10</v>
      </c>
      <c r="AC49" s="6" t="s">
        <v>105</v>
      </c>
      <c r="AD49" s="6">
        <f t="shared" si="2"/>
        <v>94</v>
      </c>
      <c r="AE49" s="6"/>
    </row>
    <row r="50" spans="1:31" x14ac:dyDescent="0.2">
      <c r="A50" s="25" t="s">
        <v>47</v>
      </c>
      <c r="B50" s="26" t="s">
        <v>82</v>
      </c>
      <c r="C50" s="27" t="s">
        <v>82</v>
      </c>
      <c r="D50" s="27" t="s">
        <v>82</v>
      </c>
      <c r="E50" s="27" t="s">
        <v>82</v>
      </c>
      <c r="F50" s="27" t="s">
        <v>82</v>
      </c>
      <c r="G50" s="28">
        <v>40</v>
      </c>
      <c r="H50" s="6">
        <v>10</v>
      </c>
      <c r="I50" s="29"/>
      <c r="P50" s="30">
        <v>8</v>
      </c>
      <c r="Q50" s="30">
        <v>10</v>
      </c>
      <c r="R50" s="30">
        <v>8</v>
      </c>
      <c r="U50" s="31">
        <f t="shared" si="4"/>
        <v>26</v>
      </c>
      <c r="V50" s="32">
        <v>4</v>
      </c>
      <c r="W50" s="24">
        <v>4</v>
      </c>
      <c r="X50" s="24">
        <v>4</v>
      </c>
      <c r="Y50" s="24">
        <v>2</v>
      </c>
      <c r="Z50" s="24">
        <v>2</v>
      </c>
      <c r="AA50" s="31">
        <f t="shared" si="1"/>
        <v>16</v>
      </c>
      <c r="AB50" s="6">
        <v>10</v>
      </c>
      <c r="AC50" s="6"/>
      <c r="AD50" s="5">
        <f t="shared" si="2"/>
        <v>102</v>
      </c>
      <c r="AE50" s="6" t="s">
        <v>112</v>
      </c>
    </row>
    <row r="51" spans="1:31" x14ac:dyDescent="0.2">
      <c r="A51" s="25" t="s">
        <v>48</v>
      </c>
      <c r="B51" s="26" t="s">
        <v>82</v>
      </c>
      <c r="C51" s="27" t="s">
        <v>82</v>
      </c>
      <c r="D51" s="27" t="s">
        <v>82</v>
      </c>
      <c r="E51" s="27" t="s">
        <v>82</v>
      </c>
      <c r="F51" s="27" t="s">
        <v>82</v>
      </c>
      <c r="G51" s="28">
        <v>40</v>
      </c>
      <c r="H51" s="6">
        <v>10</v>
      </c>
      <c r="I51" s="29"/>
      <c r="J51" s="30">
        <v>10</v>
      </c>
      <c r="L51" s="30">
        <v>10</v>
      </c>
      <c r="Q51" s="30">
        <v>10</v>
      </c>
      <c r="U51" s="31">
        <f t="shared" si="4"/>
        <v>30</v>
      </c>
      <c r="V51" s="32">
        <v>4</v>
      </c>
      <c r="W51" s="24">
        <v>4</v>
      </c>
      <c r="X51" s="24">
        <v>4</v>
      </c>
      <c r="Y51" s="24">
        <v>2</v>
      </c>
      <c r="Z51" s="24">
        <v>2</v>
      </c>
      <c r="AA51" s="31">
        <f t="shared" si="1"/>
        <v>16</v>
      </c>
      <c r="AB51" s="6"/>
      <c r="AC51" s="6"/>
      <c r="AD51" s="5">
        <f t="shared" si="2"/>
        <v>96</v>
      </c>
      <c r="AE51" s="6" t="s">
        <v>112</v>
      </c>
    </row>
    <row r="52" spans="1:31" x14ac:dyDescent="0.2">
      <c r="A52" s="25" t="s">
        <v>49</v>
      </c>
      <c r="B52" s="26" t="s">
        <v>82</v>
      </c>
      <c r="C52" s="27" t="s">
        <v>82</v>
      </c>
      <c r="D52" s="27" t="s">
        <v>82</v>
      </c>
      <c r="E52" s="27" t="s">
        <v>82</v>
      </c>
      <c r="F52" s="27" t="s">
        <v>82</v>
      </c>
      <c r="G52" s="28">
        <v>40</v>
      </c>
      <c r="H52" s="6"/>
      <c r="I52" s="29"/>
      <c r="S52" s="30">
        <v>10</v>
      </c>
      <c r="U52" s="31">
        <f t="shared" si="4"/>
        <v>10</v>
      </c>
      <c r="V52" s="32">
        <v>4</v>
      </c>
      <c r="W52" s="24">
        <v>4</v>
      </c>
      <c r="X52" s="24">
        <v>4</v>
      </c>
      <c r="Y52" s="24">
        <v>2</v>
      </c>
      <c r="Z52" s="24">
        <v>2</v>
      </c>
      <c r="AA52" s="31">
        <f t="shared" si="1"/>
        <v>16</v>
      </c>
      <c r="AB52" s="6"/>
      <c r="AC52" s="6"/>
      <c r="AD52" s="5">
        <f t="shared" si="2"/>
        <v>66</v>
      </c>
      <c r="AE52" s="6"/>
    </row>
    <row r="53" spans="1:31" x14ac:dyDescent="0.2">
      <c r="A53" s="25" t="s">
        <v>50</v>
      </c>
      <c r="B53" s="26" t="s">
        <v>82</v>
      </c>
      <c r="C53" s="27" t="s">
        <v>82</v>
      </c>
      <c r="D53" s="27" t="s">
        <v>82</v>
      </c>
      <c r="E53" s="27" t="s">
        <v>82</v>
      </c>
      <c r="F53" s="27" t="s">
        <v>82</v>
      </c>
      <c r="G53" s="28">
        <v>40</v>
      </c>
      <c r="H53" s="6">
        <v>8</v>
      </c>
      <c r="I53" s="29"/>
      <c r="S53" s="30">
        <v>20</v>
      </c>
      <c r="U53" s="31">
        <f t="shared" si="4"/>
        <v>20</v>
      </c>
      <c r="V53" s="32">
        <v>4</v>
      </c>
      <c r="W53" s="24">
        <v>4</v>
      </c>
      <c r="X53" s="24">
        <v>4</v>
      </c>
      <c r="Y53" s="24">
        <v>2</v>
      </c>
      <c r="Z53" s="24">
        <v>2</v>
      </c>
      <c r="AA53" s="31">
        <f t="shared" si="1"/>
        <v>16</v>
      </c>
      <c r="AB53" s="6"/>
      <c r="AC53" s="6"/>
      <c r="AD53" s="5">
        <f t="shared" si="2"/>
        <v>84</v>
      </c>
      <c r="AE53" s="6"/>
    </row>
    <row r="54" spans="1:31" x14ac:dyDescent="0.2">
      <c r="A54" s="25" t="s">
        <v>51</v>
      </c>
      <c r="B54" s="26" t="s">
        <v>82</v>
      </c>
      <c r="C54" s="27" t="s">
        <v>82</v>
      </c>
      <c r="D54" s="27" t="s">
        <v>82</v>
      </c>
      <c r="E54" s="27" t="s">
        <v>82</v>
      </c>
      <c r="F54" s="27" t="s">
        <v>82</v>
      </c>
      <c r="G54" s="28">
        <v>40</v>
      </c>
      <c r="H54" s="6">
        <v>8</v>
      </c>
      <c r="I54" s="29"/>
      <c r="S54" s="30">
        <v>10</v>
      </c>
      <c r="U54" s="31">
        <f t="shared" si="4"/>
        <v>10</v>
      </c>
      <c r="V54" s="32">
        <v>4</v>
      </c>
      <c r="X54" s="24">
        <v>4</v>
      </c>
      <c r="Y54" s="24">
        <v>2</v>
      </c>
      <c r="Z54" s="24">
        <v>2</v>
      </c>
      <c r="AA54" s="31">
        <f t="shared" si="1"/>
        <v>12</v>
      </c>
      <c r="AB54" s="6"/>
      <c r="AC54" s="6"/>
      <c r="AD54" s="5">
        <f t="shared" si="2"/>
        <v>70</v>
      </c>
      <c r="AE54" s="6"/>
    </row>
    <row r="55" spans="1:31" x14ac:dyDescent="0.2">
      <c r="A55" s="25" t="s">
        <v>52</v>
      </c>
      <c r="B55" s="26" t="s">
        <v>82</v>
      </c>
      <c r="C55" s="27" t="s">
        <v>82</v>
      </c>
      <c r="D55" s="27" t="s">
        <v>82</v>
      </c>
      <c r="E55" s="27" t="s">
        <v>82</v>
      </c>
      <c r="F55" s="27" t="s">
        <v>76</v>
      </c>
      <c r="G55" s="28">
        <v>30</v>
      </c>
      <c r="H55" s="6">
        <v>10</v>
      </c>
      <c r="I55" s="29"/>
      <c r="P55" s="30">
        <v>10</v>
      </c>
      <c r="U55" s="31">
        <f t="shared" si="4"/>
        <v>10</v>
      </c>
      <c r="V55" s="32">
        <v>4</v>
      </c>
      <c r="W55" s="24">
        <v>4</v>
      </c>
      <c r="X55" s="24">
        <v>4</v>
      </c>
      <c r="AA55" s="31">
        <f t="shared" si="1"/>
        <v>12</v>
      </c>
      <c r="AB55" s="6"/>
      <c r="AC55" s="6"/>
      <c r="AD55" s="5">
        <f t="shared" si="2"/>
        <v>62</v>
      </c>
      <c r="AE55" s="6"/>
    </row>
    <row r="56" spans="1:31" x14ac:dyDescent="0.2">
      <c r="A56" s="25" t="s">
        <v>53</v>
      </c>
      <c r="B56" s="26" t="s">
        <v>82</v>
      </c>
      <c r="C56" s="27" t="s">
        <v>82</v>
      </c>
      <c r="D56" s="27" t="s">
        <v>82</v>
      </c>
      <c r="E56" s="27" t="s">
        <v>82</v>
      </c>
      <c r="F56" s="27" t="s">
        <v>82</v>
      </c>
      <c r="G56" s="28">
        <v>40</v>
      </c>
      <c r="H56" s="6">
        <v>10</v>
      </c>
      <c r="I56" s="29">
        <v>10</v>
      </c>
      <c r="U56" s="31">
        <f t="shared" si="4"/>
        <v>10</v>
      </c>
      <c r="V56" s="32">
        <v>4</v>
      </c>
      <c r="W56" s="24">
        <v>4</v>
      </c>
      <c r="X56" s="24">
        <v>4</v>
      </c>
      <c r="Y56" s="24">
        <v>2</v>
      </c>
      <c r="Z56" s="24">
        <v>2</v>
      </c>
      <c r="AA56" s="31">
        <f t="shared" si="1"/>
        <v>16</v>
      </c>
      <c r="AB56" s="6">
        <v>10</v>
      </c>
      <c r="AC56" s="6" t="s">
        <v>105</v>
      </c>
      <c r="AD56" s="5">
        <f t="shared" si="2"/>
        <v>86</v>
      </c>
      <c r="AE56" s="6"/>
    </row>
    <row r="57" spans="1:31" x14ac:dyDescent="0.2">
      <c r="A57" s="9" t="s">
        <v>110</v>
      </c>
      <c r="B57" s="10"/>
      <c r="C57" s="11"/>
      <c r="D57" s="11"/>
      <c r="E57" s="11"/>
      <c r="F57" s="11"/>
      <c r="G57" s="12"/>
      <c r="H57" s="13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7"/>
      <c r="W57" s="18"/>
      <c r="X57" s="18"/>
      <c r="Y57" s="18"/>
      <c r="Z57" s="18"/>
      <c r="AA57" s="16"/>
      <c r="AB57" s="13"/>
      <c r="AC57" s="13"/>
      <c r="AD57" s="13"/>
      <c r="AE57" s="13"/>
    </row>
    <row r="58" spans="1:31" x14ac:dyDescent="0.2">
      <c r="A58" s="25" t="s">
        <v>54</v>
      </c>
      <c r="B58" s="26" t="s">
        <v>82</v>
      </c>
      <c r="C58" s="27" t="s">
        <v>82</v>
      </c>
      <c r="D58" s="27" t="s">
        <v>82</v>
      </c>
      <c r="E58" s="27" t="s">
        <v>82</v>
      </c>
      <c r="F58" s="27" t="s">
        <v>82</v>
      </c>
      <c r="G58" s="28">
        <v>40</v>
      </c>
      <c r="H58" s="6">
        <v>10</v>
      </c>
      <c r="I58" s="29"/>
      <c r="J58" s="30">
        <v>20</v>
      </c>
      <c r="K58" s="30">
        <v>10</v>
      </c>
      <c r="U58" s="31">
        <f t="shared" ref="U58:U75" si="5">SUM(I58:T58)</f>
        <v>30</v>
      </c>
      <c r="V58" s="32">
        <v>4</v>
      </c>
      <c r="W58" s="24">
        <v>4</v>
      </c>
      <c r="X58" s="24">
        <v>4</v>
      </c>
      <c r="Y58" s="24">
        <v>2</v>
      </c>
      <c r="Z58" s="24">
        <v>2</v>
      </c>
      <c r="AA58" s="31">
        <f t="shared" si="1"/>
        <v>16</v>
      </c>
      <c r="AB58" s="6">
        <v>10</v>
      </c>
      <c r="AC58" s="6" t="s">
        <v>105</v>
      </c>
      <c r="AD58" s="6">
        <f t="shared" si="2"/>
        <v>106</v>
      </c>
      <c r="AE58" s="6"/>
    </row>
    <row r="59" spans="1:31" x14ac:dyDescent="0.2">
      <c r="A59" s="25" t="s">
        <v>55</v>
      </c>
      <c r="B59" s="26" t="s">
        <v>82</v>
      </c>
      <c r="C59" s="27" t="s">
        <v>82</v>
      </c>
      <c r="D59" s="27" t="s">
        <v>82</v>
      </c>
      <c r="E59" s="27" t="s">
        <v>82</v>
      </c>
      <c r="F59" s="27" t="s">
        <v>76</v>
      </c>
      <c r="G59" s="28">
        <v>30</v>
      </c>
      <c r="H59" s="6">
        <v>8</v>
      </c>
      <c r="I59" s="29"/>
      <c r="J59" s="30">
        <v>10</v>
      </c>
      <c r="Q59" s="30">
        <v>8</v>
      </c>
      <c r="R59" s="30">
        <v>8</v>
      </c>
      <c r="U59" s="31">
        <f t="shared" si="5"/>
        <v>26</v>
      </c>
      <c r="V59" s="32">
        <v>4</v>
      </c>
      <c r="W59" s="24">
        <v>4</v>
      </c>
      <c r="X59" s="24">
        <v>4</v>
      </c>
      <c r="AA59" s="31">
        <f t="shared" si="1"/>
        <v>12</v>
      </c>
      <c r="AB59" s="6"/>
      <c r="AC59" s="6"/>
      <c r="AD59" s="5">
        <f t="shared" si="2"/>
        <v>76</v>
      </c>
      <c r="AE59" s="6"/>
    </row>
    <row r="60" spans="1:31" x14ac:dyDescent="0.2">
      <c r="A60" s="25" t="s">
        <v>56</v>
      </c>
      <c r="B60" s="26" t="s">
        <v>82</v>
      </c>
      <c r="C60" s="27" t="s">
        <v>82</v>
      </c>
      <c r="D60" s="27" t="s">
        <v>82</v>
      </c>
      <c r="E60" s="27" t="s">
        <v>82</v>
      </c>
      <c r="F60" s="27" t="s">
        <v>76</v>
      </c>
      <c r="G60" s="28">
        <v>30</v>
      </c>
      <c r="H60" s="6">
        <v>10</v>
      </c>
      <c r="I60" s="29"/>
      <c r="Q60" s="30">
        <v>10</v>
      </c>
      <c r="R60" s="30">
        <v>10</v>
      </c>
      <c r="U60" s="31">
        <f t="shared" si="5"/>
        <v>20</v>
      </c>
      <c r="V60" s="32">
        <v>4</v>
      </c>
      <c r="W60" s="24">
        <v>4</v>
      </c>
      <c r="X60" s="24">
        <v>4</v>
      </c>
      <c r="AA60" s="31">
        <f t="shared" si="1"/>
        <v>12</v>
      </c>
      <c r="AB60" s="6"/>
      <c r="AC60" s="6"/>
      <c r="AD60" s="5">
        <f t="shared" si="2"/>
        <v>72</v>
      </c>
      <c r="AE60" s="6"/>
    </row>
    <row r="61" spans="1:31" x14ac:dyDescent="0.2">
      <c r="A61" s="25" t="s">
        <v>57</v>
      </c>
      <c r="B61" s="26" t="s">
        <v>82</v>
      </c>
      <c r="C61" s="27" t="s">
        <v>82</v>
      </c>
      <c r="D61" s="27" t="s">
        <v>82</v>
      </c>
      <c r="E61" s="27" t="s">
        <v>82</v>
      </c>
      <c r="F61" s="27" t="s">
        <v>82</v>
      </c>
      <c r="G61" s="28">
        <v>40</v>
      </c>
      <c r="H61" s="6">
        <v>10</v>
      </c>
      <c r="I61" s="29">
        <v>20</v>
      </c>
      <c r="J61" s="30">
        <v>10</v>
      </c>
      <c r="U61" s="31">
        <f t="shared" si="5"/>
        <v>30</v>
      </c>
      <c r="V61" s="32">
        <v>4</v>
      </c>
      <c r="W61" s="24">
        <v>4</v>
      </c>
      <c r="X61" s="24">
        <v>4</v>
      </c>
      <c r="Y61" s="24">
        <v>2</v>
      </c>
      <c r="Z61" s="24">
        <v>2</v>
      </c>
      <c r="AA61" s="31">
        <f t="shared" si="1"/>
        <v>16</v>
      </c>
      <c r="AB61" s="6">
        <v>10</v>
      </c>
      <c r="AC61" s="6" t="s">
        <v>105</v>
      </c>
      <c r="AD61" s="6">
        <f t="shared" si="2"/>
        <v>106</v>
      </c>
      <c r="AE61" s="6"/>
    </row>
    <row r="62" spans="1:31" x14ac:dyDescent="0.2">
      <c r="A62" s="25" t="s">
        <v>58</v>
      </c>
      <c r="B62" s="26" t="s">
        <v>82</v>
      </c>
      <c r="C62" s="27" t="s">
        <v>82</v>
      </c>
      <c r="D62" s="27" t="s">
        <v>82</v>
      </c>
      <c r="E62" s="27" t="s">
        <v>82</v>
      </c>
      <c r="F62" s="27" t="s">
        <v>82</v>
      </c>
      <c r="G62" s="28">
        <v>40</v>
      </c>
      <c r="H62" s="6">
        <v>10</v>
      </c>
      <c r="I62" s="29"/>
      <c r="R62" s="30">
        <v>10</v>
      </c>
      <c r="U62" s="31">
        <f t="shared" si="5"/>
        <v>10</v>
      </c>
      <c r="V62" s="32">
        <v>4</v>
      </c>
      <c r="W62" s="24">
        <v>4</v>
      </c>
      <c r="X62" s="24">
        <v>4</v>
      </c>
      <c r="Y62" s="24">
        <v>2</v>
      </c>
      <c r="Z62" s="24">
        <v>2</v>
      </c>
      <c r="AA62" s="31">
        <f t="shared" si="1"/>
        <v>16</v>
      </c>
      <c r="AB62" s="6"/>
      <c r="AC62" s="6"/>
      <c r="AD62" s="5">
        <f t="shared" si="2"/>
        <v>76</v>
      </c>
      <c r="AE62" s="6"/>
    </row>
    <row r="63" spans="1:31" x14ac:dyDescent="0.2">
      <c r="A63" s="25" t="s">
        <v>59</v>
      </c>
      <c r="B63" s="26" t="s">
        <v>82</v>
      </c>
      <c r="C63" s="27" t="s">
        <v>82</v>
      </c>
      <c r="D63" s="27" t="s">
        <v>82</v>
      </c>
      <c r="E63" s="27" t="s">
        <v>82</v>
      </c>
      <c r="F63" s="27" t="s">
        <v>82</v>
      </c>
      <c r="G63" s="28">
        <v>40</v>
      </c>
      <c r="H63" s="6">
        <v>10</v>
      </c>
      <c r="I63" s="29"/>
      <c r="P63" s="30">
        <v>10</v>
      </c>
      <c r="Q63" s="30">
        <v>0</v>
      </c>
      <c r="R63" s="30">
        <v>0</v>
      </c>
      <c r="S63" s="30">
        <v>0</v>
      </c>
      <c r="U63" s="31">
        <f t="shared" si="5"/>
        <v>10</v>
      </c>
      <c r="V63" s="32">
        <v>4</v>
      </c>
      <c r="W63" s="24">
        <v>4</v>
      </c>
      <c r="X63" s="24">
        <v>4</v>
      </c>
      <c r="Y63" s="24">
        <v>2</v>
      </c>
      <c r="Z63" s="24">
        <v>2</v>
      </c>
      <c r="AA63" s="31">
        <f t="shared" si="1"/>
        <v>16</v>
      </c>
      <c r="AB63" s="6"/>
      <c r="AC63" s="6"/>
      <c r="AD63" s="5">
        <f t="shared" si="2"/>
        <v>76</v>
      </c>
      <c r="AE63" s="6"/>
    </row>
    <row r="64" spans="1:31" x14ac:dyDescent="0.2">
      <c r="A64" s="25" t="s">
        <v>60</v>
      </c>
      <c r="B64" s="26" t="s">
        <v>82</v>
      </c>
      <c r="C64" s="27" t="s">
        <v>82</v>
      </c>
      <c r="D64" s="27" t="s">
        <v>82</v>
      </c>
      <c r="E64" s="27" t="s">
        <v>82</v>
      </c>
      <c r="F64" s="27" t="s">
        <v>82</v>
      </c>
      <c r="G64" s="28">
        <v>40</v>
      </c>
      <c r="H64" s="6">
        <v>10</v>
      </c>
      <c r="I64" s="29"/>
      <c r="J64" s="30">
        <v>10</v>
      </c>
      <c r="R64" s="30">
        <v>10</v>
      </c>
      <c r="U64" s="31">
        <f t="shared" si="5"/>
        <v>20</v>
      </c>
      <c r="V64" s="32">
        <v>4</v>
      </c>
      <c r="W64" s="24">
        <v>4</v>
      </c>
      <c r="X64" s="24">
        <v>4</v>
      </c>
      <c r="Y64" s="24">
        <v>2</v>
      </c>
      <c r="Z64" s="24">
        <v>2</v>
      </c>
      <c r="AA64" s="31">
        <f t="shared" si="1"/>
        <v>16</v>
      </c>
      <c r="AB64" s="6"/>
      <c r="AC64" s="6"/>
      <c r="AD64" s="5">
        <f t="shared" si="2"/>
        <v>86</v>
      </c>
      <c r="AE64" s="6"/>
    </row>
    <row r="65" spans="1:31" x14ac:dyDescent="0.2">
      <c r="A65" s="25" t="s">
        <v>61</v>
      </c>
      <c r="B65" s="26" t="s">
        <v>82</v>
      </c>
      <c r="C65" s="27" t="s">
        <v>82</v>
      </c>
      <c r="D65" s="27" t="s">
        <v>82</v>
      </c>
      <c r="E65" s="27" t="s">
        <v>82</v>
      </c>
      <c r="F65" s="27" t="s">
        <v>82</v>
      </c>
      <c r="G65" s="28">
        <v>40</v>
      </c>
      <c r="H65" s="6">
        <v>10</v>
      </c>
      <c r="I65" s="29"/>
      <c r="K65" s="30">
        <v>8</v>
      </c>
      <c r="O65" s="30">
        <v>10</v>
      </c>
      <c r="P65" s="30">
        <v>10</v>
      </c>
      <c r="U65" s="31">
        <f t="shared" si="5"/>
        <v>28</v>
      </c>
      <c r="V65" s="32">
        <v>4</v>
      </c>
      <c r="W65" s="24">
        <v>4</v>
      </c>
      <c r="X65" s="24">
        <v>4</v>
      </c>
      <c r="Y65" s="24">
        <v>2</v>
      </c>
      <c r="Z65" s="24">
        <v>2</v>
      </c>
      <c r="AA65" s="31">
        <f t="shared" si="1"/>
        <v>16</v>
      </c>
      <c r="AB65" s="6">
        <v>10</v>
      </c>
      <c r="AC65" s="6"/>
      <c r="AD65" s="5">
        <f t="shared" si="2"/>
        <v>104</v>
      </c>
      <c r="AE65" s="6" t="s">
        <v>112</v>
      </c>
    </row>
    <row r="66" spans="1:31" x14ac:dyDescent="0.2">
      <c r="A66" s="25" t="s">
        <v>62</v>
      </c>
      <c r="B66" s="26" t="s">
        <v>82</v>
      </c>
      <c r="C66" s="27" t="s">
        <v>82</v>
      </c>
      <c r="D66" s="27" t="s">
        <v>82</v>
      </c>
      <c r="E66" s="27" t="s">
        <v>82</v>
      </c>
      <c r="F66" s="27" t="s">
        <v>82</v>
      </c>
      <c r="G66" s="28">
        <v>40</v>
      </c>
      <c r="H66" s="6">
        <v>10</v>
      </c>
      <c r="I66" s="29"/>
      <c r="J66" s="30">
        <v>10</v>
      </c>
      <c r="R66" s="30">
        <v>10</v>
      </c>
      <c r="S66" s="30">
        <v>10</v>
      </c>
      <c r="U66" s="31">
        <f t="shared" si="5"/>
        <v>30</v>
      </c>
      <c r="V66" s="32">
        <v>4</v>
      </c>
      <c r="W66" s="24">
        <v>4</v>
      </c>
      <c r="X66" s="24">
        <v>4</v>
      </c>
      <c r="Y66" s="24">
        <v>2</v>
      </c>
      <c r="Z66" s="24">
        <v>2</v>
      </c>
      <c r="AA66" s="31">
        <f t="shared" si="1"/>
        <v>16</v>
      </c>
      <c r="AB66" s="6">
        <v>10</v>
      </c>
      <c r="AC66" s="6"/>
      <c r="AD66" s="5">
        <f t="shared" si="2"/>
        <v>106</v>
      </c>
      <c r="AE66" s="6" t="s">
        <v>112</v>
      </c>
    </row>
    <row r="67" spans="1:31" x14ac:dyDescent="0.2">
      <c r="A67" s="25" t="s">
        <v>63</v>
      </c>
      <c r="B67" s="26" t="s">
        <v>82</v>
      </c>
      <c r="C67" s="27" t="s">
        <v>76</v>
      </c>
      <c r="D67" s="27" t="s">
        <v>82</v>
      </c>
      <c r="E67" s="27" t="s">
        <v>82</v>
      </c>
      <c r="F67" s="27" t="s">
        <v>82</v>
      </c>
      <c r="G67" s="28">
        <v>30</v>
      </c>
      <c r="H67" s="6"/>
      <c r="I67" s="29"/>
      <c r="U67" s="31">
        <f t="shared" si="5"/>
        <v>0</v>
      </c>
      <c r="V67" s="32"/>
      <c r="X67" s="24">
        <v>4</v>
      </c>
      <c r="Z67" s="24">
        <v>2</v>
      </c>
      <c r="AA67" s="31">
        <f t="shared" ref="AA67:AA79" si="6">SUM(V67:Z67)</f>
        <v>6</v>
      </c>
      <c r="AB67" s="6"/>
      <c r="AC67" s="6"/>
      <c r="AD67" s="5">
        <f t="shared" ref="AD67:AD79" si="7">G67+H67+U67+AA67+AB67</f>
        <v>36</v>
      </c>
      <c r="AE67" s="6"/>
    </row>
    <row r="68" spans="1:31" x14ac:dyDescent="0.2">
      <c r="A68" s="25" t="s">
        <v>64</v>
      </c>
      <c r="B68" s="26" t="s">
        <v>82</v>
      </c>
      <c r="C68" s="27" t="s">
        <v>82</v>
      </c>
      <c r="D68" s="27" t="s">
        <v>82</v>
      </c>
      <c r="E68" s="27" t="s">
        <v>82</v>
      </c>
      <c r="F68" s="27" t="s">
        <v>82</v>
      </c>
      <c r="G68" s="28">
        <v>40</v>
      </c>
      <c r="H68" s="6">
        <v>10</v>
      </c>
      <c r="I68" s="29">
        <v>20</v>
      </c>
      <c r="J68" s="30">
        <v>10</v>
      </c>
      <c r="U68" s="31">
        <f t="shared" si="5"/>
        <v>30</v>
      </c>
      <c r="V68" s="32">
        <v>4</v>
      </c>
      <c r="W68" s="24">
        <v>4</v>
      </c>
      <c r="X68" s="24">
        <v>4</v>
      </c>
      <c r="Y68" s="24">
        <v>2</v>
      </c>
      <c r="Z68" s="24">
        <v>2</v>
      </c>
      <c r="AA68" s="31">
        <f t="shared" si="6"/>
        <v>16</v>
      </c>
      <c r="AB68" s="6"/>
      <c r="AC68" s="6"/>
      <c r="AD68" s="5">
        <f t="shared" si="7"/>
        <v>96</v>
      </c>
      <c r="AE68" s="6" t="s">
        <v>112</v>
      </c>
    </row>
    <row r="69" spans="1:31" x14ac:dyDescent="0.2">
      <c r="A69" s="25" t="s">
        <v>65</v>
      </c>
      <c r="B69" s="26" t="s">
        <v>82</v>
      </c>
      <c r="C69" s="27" t="s">
        <v>82</v>
      </c>
      <c r="D69" s="27" t="s">
        <v>82</v>
      </c>
      <c r="E69" s="27" t="s">
        <v>82</v>
      </c>
      <c r="F69" s="27" t="s">
        <v>76</v>
      </c>
      <c r="G69" s="28">
        <v>30</v>
      </c>
      <c r="H69" s="6">
        <v>10</v>
      </c>
      <c r="I69" s="29"/>
      <c r="S69" s="30">
        <v>10</v>
      </c>
      <c r="U69" s="31">
        <f t="shared" si="5"/>
        <v>10</v>
      </c>
      <c r="V69" s="32">
        <v>4</v>
      </c>
      <c r="W69" s="24">
        <v>4</v>
      </c>
      <c r="X69" s="24">
        <v>4</v>
      </c>
      <c r="AA69" s="31">
        <f t="shared" si="6"/>
        <v>12</v>
      </c>
      <c r="AB69" s="6"/>
      <c r="AC69" s="6"/>
      <c r="AD69" s="5">
        <f t="shared" si="7"/>
        <v>62</v>
      </c>
      <c r="AE69" s="6"/>
    </row>
    <row r="70" spans="1:31" x14ac:dyDescent="0.2">
      <c r="A70" s="25" t="s">
        <v>66</v>
      </c>
      <c r="B70" s="26" t="s">
        <v>82</v>
      </c>
      <c r="C70" s="27" t="s">
        <v>82</v>
      </c>
      <c r="D70" s="27" t="s">
        <v>82</v>
      </c>
      <c r="E70" s="27" t="s">
        <v>82</v>
      </c>
      <c r="F70" s="27" t="s">
        <v>82</v>
      </c>
      <c r="G70" s="28">
        <v>40</v>
      </c>
      <c r="H70" s="6">
        <v>10</v>
      </c>
      <c r="I70" s="29"/>
      <c r="K70" s="30">
        <v>10</v>
      </c>
      <c r="O70" s="30">
        <v>20</v>
      </c>
      <c r="U70" s="31">
        <f t="shared" si="5"/>
        <v>30</v>
      </c>
      <c r="V70" s="32">
        <v>4</v>
      </c>
      <c r="W70" s="24">
        <v>4</v>
      </c>
      <c r="X70" s="24">
        <v>4</v>
      </c>
      <c r="Y70" s="24">
        <v>2</v>
      </c>
      <c r="Z70" s="24">
        <v>2</v>
      </c>
      <c r="AA70" s="31">
        <f t="shared" si="6"/>
        <v>16</v>
      </c>
      <c r="AB70" s="6">
        <v>10</v>
      </c>
      <c r="AC70" s="6"/>
      <c r="AD70" s="5">
        <f t="shared" si="7"/>
        <v>106</v>
      </c>
      <c r="AE70" s="6" t="s">
        <v>112</v>
      </c>
    </row>
    <row r="71" spans="1:31" x14ac:dyDescent="0.2">
      <c r="A71" s="25" t="s">
        <v>67</v>
      </c>
      <c r="B71" s="26" t="s">
        <v>82</v>
      </c>
      <c r="C71" s="27" t="s">
        <v>76</v>
      </c>
      <c r="D71" s="27" t="s">
        <v>82</v>
      </c>
      <c r="E71" s="27" t="s">
        <v>82</v>
      </c>
      <c r="F71" s="27" t="s">
        <v>82</v>
      </c>
      <c r="G71" s="28">
        <v>30</v>
      </c>
      <c r="H71" s="6"/>
      <c r="I71" s="29"/>
      <c r="U71" s="31">
        <f t="shared" si="5"/>
        <v>0</v>
      </c>
      <c r="V71" s="32"/>
      <c r="W71" s="24">
        <v>4</v>
      </c>
      <c r="X71" s="24">
        <v>4</v>
      </c>
      <c r="Y71" s="24">
        <v>2</v>
      </c>
      <c r="Z71" s="24">
        <v>2</v>
      </c>
      <c r="AA71" s="31">
        <f t="shared" si="6"/>
        <v>12</v>
      </c>
      <c r="AB71" s="6"/>
      <c r="AC71" s="6"/>
      <c r="AD71" s="5">
        <f t="shared" si="7"/>
        <v>42</v>
      </c>
      <c r="AE71" s="6"/>
    </row>
    <row r="72" spans="1:31" x14ac:dyDescent="0.2">
      <c r="A72" s="25" t="s">
        <v>68</v>
      </c>
      <c r="B72" s="26" t="s">
        <v>82</v>
      </c>
      <c r="C72" s="27" t="s">
        <v>82</v>
      </c>
      <c r="D72" s="27" t="s">
        <v>82</v>
      </c>
      <c r="E72" s="27" t="s">
        <v>82</v>
      </c>
      <c r="F72" s="27" t="s">
        <v>82</v>
      </c>
      <c r="G72" s="28">
        <v>40</v>
      </c>
      <c r="H72" s="6">
        <v>10</v>
      </c>
      <c r="I72" s="29"/>
      <c r="L72" s="30">
        <v>10</v>
      </c>
      <c r="S72" s="30">
        <v>10</v>
      </c>
      <c r="U72" s="31">
        <f t="shared" si="5"/>
        <v>20</v>
      </c>
      <c r="V72" s="32">
        <v>4</v>
      </c>
      <c r="Y72" s="24">
        <v>2</v>
      </c>
      <c r="Z72" s="24">
        <v>2</v>
      </c>
      <c r="AA72" s="31">
        <f t="shared" si="6"/>
        <v>8</v>
      </c>
      <c r="AB72" s="6"/>
      <c r="AC72" s="6"/>
      <c r="AD72" s="5">
        <f t="shared" si="7"/>
        <v>78</v>
      </c>
      <c r="AE72" s="6"/>
    </row>
    <row r="73" spans="1:31" x14ac:dyDescent="0.2">
      <c r="A73" s="25" t="s">
        <v>69</v>
      </c>
      <c r="B73" s="26" t="s">
        <v>82</v>
      </c>
      <c r="C73" s="27" t="s">
        <v>82</v>
      </c>
      <c r="D73" s="27" t="s">
        <v>82</v>
      </c>
      <c r="E73" s="27" t="s">
        <v>82</v>
      </c>
      <c r="F73" s="27" t="s">
        <v>82</v>
      </c>
      <c r="G73" s="28">
        <v>40</v>
      </c>
      <c r="H73" s="6">
        <v>10</v>
      </c>
      <c r="I73" s="29"/>
      <c r="R73" s="30">
        <v>10</v>
      </c>
      <c r="U73" s="31">
        <f t="shared" si="5"/>
        <v>10</v>
      </c>
      <c r="V73" s="32">
        <v>4</v>
      </c>
      <c r="W73" s="24">
        <v>4</v>
      </c>
      <c r="X73" s="24">
        <v>4</v>
      </c>
      <c r="Y73" s="24">
        <v>2</v>
      </c>
      <c r="Z73" s="24">
        <v>2</v>
      </c>
      <c r="AA73" s="31">
        <f t="shared" si="6"/>
        <v>16</v>
      </c>
      <c r="AB73" s="6"/>
      <c r="AC73" s="6"/>
      <c r="AD73" s="5">
        <f t="shared" si="7"/>
        <v>76</v>
      </c>
      <c r="AE73" s="6"/>
    </row>
    <row r="74" spans="1:31" x14ac:dyDescent="0.2">
      <c r="A74" s="25" t="s">
        <v>70</v>
      </c>
      <c r="B74" s="26" t="s">
        <v>82</v>
      </c>
      <c r="C74" s="27" t="s">
        <v>82</v>
      </c>
      <c r="D74" s="27" t="s">
        <v>82</v>
      </c>
      <c r="E74" s="27" t="s">
        <v>82</v>
      </c>
      <c r="F74" s="27" t="s">
        <v>82</v>
      </c>
      <c r="G74" s="28">
        <v>40</v>
      </c>
      <c r="H74" s="6">
        <v>10</v>
      </c>
      <c r="I74" s="29"/>
      <c r="R74" s="30">
        <v>10</v>
      </c>
      <c r="S74" s="30">
        <v>10</v>
      </c>
      <c r="U74" s="31">
        <f t="shared" si="5"/>
        <v>20</v>
      </c>
      <c r="V74" s="32">
        <v>4</v>
      </c>
      <c r="W74" s="24">
        <v>4</v>
      </c>
      <c r="X74" s="24">
        <v>4</v>
      </c>
      <c r="Y74" s="24">
        <v>2</v>
      </c>
      <c r="Z74" s="24">
        <v>2</v>
      </c>
      <c r="AA74" s="31">
        <f t="shared" si="6"/>
        <v>16</v>
      </c>
      <c r="AB74" s="6"/>
      <c r="AC74" s="6"/>
      <c r="AD74" s="5">
        <f t="shared" si="7"/>
        <v>86</v>
      </c>
      <c r="AE74" s="6"/>
    </row>
    <row r="75" spans="1:31" x14ac:dyDescent="0.2">
      <c r="A75" s="25" t="s">
        <v>71</v>
      </c>
      <c r="B75" s="26" t="s">
        <v>82</v>
      </c>
      <c r="C75" s="27" t="s">
        <v>82</v>
      </c>
      <c r="D75" s="27" t="s">
        <v>82</v>
      </c>
      <c r="E75" s="27" t="s">
        <v>82</v>
      </c>
      <c r="F75" s="27" t="s">
        <v>82</v>
      </c>
      <c r="G75" s="28">
        <v>40</v>
      </c>
      <c r="H75" s="6">
        <v>10</v>
      </c>
      <c r="I75" s="29"/>
      <c r="K75" s="30">
        <v>10</v>
      </c>
      <c r="P75" s="30">
        <v>10</v>
      </c>
      <c r="U75" s="31">
        <f t="shared" si="5"/>
        <v>20</v>
      </c>
      <c r="V75" s="32">
        <v>4</v>
      </c>
      <c r="W75" s="24">
        <v>4</v>
      </c>
      <c r="X75" s="24">
        <v>4</v>
      </c>
      <c r="Y75" s="24">
        <v>2</v>
      </c>
      <c r="Z75" s="24">
        <v>2</v>
      </c>
      <c r="AA75" s="31">
        <f t="shared" si="6"/>
        <v>16</v>
      </c>
      <c r="AB75" s="6">
        <v>10</v>
      </c>
      <c r="AC75" s="6"/>
      <c r="AD75" s="5">
        <f t="shared" si="7"/>
        <v>96</v>
      </c>
      <c r="AE75" s="6" t="s">
        <v>112</v>
      </c>
    </row>
    <row r="76" spans="1:31" x14ac:dyDescent="0.2">
      <c r="A76" s="9" t="s">
        <v>111</v>
      </c>
      <c r="B76" s="10"/>
      <c r="C76" s="11"/>
      <c r="D76" s="11"/>
      <c r="E76" s="11"/>
      <c r="F76" s="11"/>
      <c r="G76" s="12"/>
      <c r="H76" s="13"/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17"/>
      <c r="W76" s="18"/>
      <c r="X76" s="18"/>
      <c r="Y76" s="18"/>
      <c r="Z76" s="18"/>
      <c r="AA76" s="16"/>
      <c r="AB76" s="13"/>
      <c r="AC76" s="13"/>
      <c r="AD76" s="13"/>
      <c r="AE76" s="13"/>
    </row>
    <row r="77" spans="1:31" x14ac:dyDescent="0.2">
      <c r="A77" s="25" t="s">
        <v>72</v>
      </c>
      <c r="B77" s="26" t="s">
        <v>82</v>
      </c>
      <c r="C77" s="27" t="s">
        <v>82</v>
      </c>
      <c r="D77" s="27" t="s">
        <v>82</v>
      </c>
      <c r="E77" s="27" t="s">
        <v>82</v>
      </c>
      <c r="F77" s="27" t="s">
        <v>82</v>
      </c>
      <c r="G77" s="28">
        <v>40</v>
      </c>
      <c r="H77" s="6">
        <v>10</v>
      </c>
      <c r="I77" s="29">
        <v>10</v>
      </c>
      <c r="J77" s="30">
        <v>20</v>
      </c>
      <c r="U77" s="31">
        <f>SUM(I77:T77)</f>
        <v>30</v>
      </c>
      <c r="V77" s="32">
        <v>4</v>
      </c>
      <c r="W77" s="24">
        <v>4</v>
      </c>
      <c r="X77" s="24">
        <v>4</v>
      </c>
      <c r="Y77" s="24">
        <v>2</v>
      </c>
      <c r="Z77" s="24">
        <v>2</v>
      </c>
      <c r="AA77" s="31">
        <f t="shared" si="6"/>
        <v>16</v>
      </c>
      <c r="AB77" s="6">
        <v>10</v>
      </c>
      <c r="AC77" s="6"/>
      <c r="AD77" s="5">
        <f t="shared" si="7"/>
        <v>106</v>
      </c>
      <c r="AE77" s="6" t="s">
        <v>112</v>
      </c>
    </row>
    <row r="78" spans="1:31" x14ac:dyDescent="0.2">
      <c r="A78" s="25" t="s">
        <v>73</v>
      </c>
      <c r="B78" s="26" t="s">
        <v>82</v>
      </c>
      <c r="C78" s="27" t="s">
        <v>82</v>
      </c>
      <c r="D78" s="27" t="s">
        <v>82</v>
      </c>
      <c r="E78" s="27" t="s">
        <v>82</v>
      </c>
      <c r="F78" s="27" t="s">
        <v>76</v>
      </c>
      <c r="G78" s="28">
        <v>30</v>
      </c>
      <c r="H78" s="6">
        <v>10</v>
      </c>
      <c r="I78" s="29"/>
      <c r="M78" s="30">
        <v>10</v>
      </c>
      <c r="Q78" s="30">
        <v>10</v>
      </c>
      <c r="U78" s="31">
        <f>SUM(I78:T78)</f>
        <v>20</v>
      </c>
      <c r="V78" s="32">
        <v>4</v>
      </c>
      <c r="W78" s="24">
        <v>4</v>
      </c>
      <c r="X78" s="24">
        <v>4</v>
      </c>
      <c r="AA78" s="31">
        <f t="shared" si="6"/>
        <v>12</v>
      </c>
      <c r="AB78" s="6"/>
      <c r="AC78" s="6"/>
      <c r="AD78" s="5">
        <f t="shared" si="7"/>
        <v>72</v>
      </c>
      <c r="AE78" s="6"/>
    </row>
    <row r="79" spans="1:31" x14ac:dyDescent="0.2">
      <c r="A79" s="25" t="s">
        <v>74</v>
      </c>
      <c r="B79" s="26" t="s">
        <v>82</v>
      </c>
      <c r="C79" s="27" t="s">
        <v>82</v>
      </c>
      <c r="D79" s="27" t="s">
        <v>82</v>
      </c>
      <c r="E79" s="27" t="s">
        <v>82</v>
      </c>
      <c r="F79" s="27" t="s">
        <v>76</v>
      </c>
      <c r="G79" s="28">
        <v>30</v>
      </c>
      <c r="H79" s="6">
        <v>10</v>
      </c>
      <c r="I79" s="29"/>
      <c r="R79" s="30">
        <v>10</v>
      </c>
      <c r="S79" s="30">
        <v>10</v>
      </c>
      <c r="U79" s="31">
        <f>SUM(I79:T79)</f>
        <v>20</v>
      </c>
      <c r="V79" s="32">
        <v>4</v>
      </c>
      <c r="W79" s="24">
        <v>4</v>
      </c>
      <c r="X79" s="24">
        <v>4</v>
      </c>
      <c r="AA79" s="31">
        <f t="shared" si="6"/>
        <v>12</v>
      </c>
      <c r="AB79" s="6"/>
      <c r="AC79" s="6"/>
      <c r="AD79" s="5">
        <f t="shared" si="7"/>
        <v>72</v>
      </c>
      <c r="AE79" s="6"/>
    </row>
    <row r="80" spans="1:31" x14ac:dyDescent="0.2">
      <c r="A80" s="25"/>
      <c r="B80" s="26"/>
      <c r="G80" s="28"/>
      <c r="H80" s="6"/>
      <c r="I80" s="29"/>
      <c r="U80" s="31"/>
      <c r="V80" s="32"/>
      <c r="AA80" s="31"/>
      <c r="AB80" s="6"/>
      <c r="AC80" s="6"/>
      <c r="AD80" s="6"/>
      <c r="AE80" s="6"/>
    </row>
    <row r="81" spans="1:31" ht="12.75" thickBot="1" x14ac:dyDescent="0.25">
      <c r="A81" s="33"/>
      <c r="B81" s="34"/>
      <c r="C81" s="35"/>
      <c r="D81" s="35"/>
      <c r="E81" s="35"/>
      <c r="F81" s="35"/>
      <c r="G81" s="36"/>
      <c r="H81" s="7"/>
      <c r="I81" s="37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41"/>
      <c r="X81" s="41"/>
      <c r="Y81" s="41"/>
      <c r="Z81" s="41"/>
      <c r="AA81" s="39"/>
      <c r="AB81" s="7"/>
      <c r="AC81" s="7"/>
      <c r="AD81" s="7"/>
      <c r="AE81" s="7"/>
    </row>
  </sheetData>
  <phoneticPr fontId="18" type="noConversion"/>
  <pageMargins left="0.7" right="0.7" top="0.75" bottom="0.75" header="0.3" footer="0.3"/>
  <pageSetup paperSize="9" orientation="portrait" verticalDpi="0" r:id="rId1"/>
  <ignoredErrors>
    <ignoredError sqref="U2:U12 U14:U45 U47:U56 U58:U75 U77:U7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2025-11-24T1020_성적-섬김의리더십_(2150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최성주</dc:creator>
  <cp:lastModifiedBy>최춘화</cp:lastModifiedBy>
  <dcterms:created xsi:type="dcterms:W3CDTF">2025-11-24T01:23:47Z</dcterms:created>
  <dcterms:modified xsi:type="dcterms:W3CDTF">2025-11-24T02:09:43Z</dcterms:modified>
</cp:coreProperties>
</file>